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6C4C0ED2-31A3-4CE3-A359-202DC96A7EE5}"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D" sheetId="2" r:id="rId3"/>
  </sheets>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1" l="1" a="1"/>
  <c r="C3" i="1" s="1"/>
  <c r="L3" i="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<sst xmlns="http://schemas.openxmlformats.org/spreadsheetml/2006/main" count="289" uniqueCount="145">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</sst>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5">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6">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L13" sqref="L13"/>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customWidth="1" outlineLevel="1"/>
    <col min="13" max="13" width="11" customWidth="1" outlineLevel="1"/>
    <col min="14" max="14" width="12.54296875" customWidth="1" outlineLevel="1"/>
    <col min="15" max="15" width="4.08984375" style="7" customWidth="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10.90625" hidden="1" customWidth="1" outlineLevel="1"/>
    <col min="66" max="66" width="4.6328125" customWidth="1" collapsed="1"/>
  </cols>
  <sheetData>
    <row r="1" spans="1:66" s="4" customFormat="1" ht="46.5" customHeight="1" x14ac:dyDescent="0.35">
      <c r="A1" s="43" t="s">
        <v>143</v>
      </c>
      <c r="B1" s="43"/>
      <c r="C1" s="43"/>
      <c r="D1" s="43"/>
      <c r="E1" s="43"/>
      <c r="F1" s="43"/>
      <c r="G1" s="44"/>
      <c r="H1" s="45" t="s">
        <v>88</v>
      </c>
      <c r="I1" s="46"/>
      <c r="J1" s="46"/>
      <c r="K1" s="47"/>
      <c r="L1" s="40" t="s">
        <v>82</v>
      </c>
      <c r="M1" s="41"/>
      <c r="N1" s="13" t="s">
        <v>10</v>
      </c>
      <c r="O1" s="52" t="s">
        <v>14</v>
      </c>
      <c r="P1" s="48" t="s">
        <v>104</v>
      </c>
      <c r="Q1" s="49"/>
      <c r="R1" s="49"/>
      <c r="S1" s="54" t="s">
        <v>104</v>
      </c>
      <c r="T1" s="50" t="s">
        <v>105</v>
      </c>
      <c r="U1" s="51"/>
      <c r="V1" s="59" t="s">
        <v>105</v>
      </c>
      <c r="W1" s="35" t="s">
        <v>108</v>
      </c>
      <c r="X1" s="35"/>
      <c r="Y1" s="35"/>
      <c r="Z1" s="61" t="s">
        <v>108</v>
      </c>
      <c r="AA1" s="36" t="s">
        <v>33</v>
      </c>
      <c r="AB1" s="36"/>
      <c r="AC1" s="36"/>
      <c r="AD1" s="63" t="s">
        <v>96</v>
      </c>
      <c r="AE1" s="37" t="s">
        <v>34</v>
      </c>
      <c r="AF1" s="37"/>
      <c r="AG1" s="37"/>
      <c r="AH1" s="65" t="s">
        <v>95</v>
      </c>
      <c r="AI1" s="38" t="s">
        <v>7</v>
      </c>
      <c r="AJ1" s="38"/>
      <c r="AK1" s="38"/>
      <c r="AL1" s="38"/>
      <c r="AM1" s="67" t="s">
        <v>7</v>
      </c>
      <c r="AN1" s="39" t="s">
        <v>35</v>
      </c>
      <c r="AO1" s="39"/>
      <c r="AP1" s="33" t="s">
        <v>35</v>
      </c>
      <c r="AQ1" s="69" t="s">
        <v>9</v>
      </c>
      <c r="AR1" s="70"/>
      <c r="AS1" s="70"/>
      <c r="AT1" s="70"/>
      <c r="AU1" s="70"/>
      <c r="AV1" s="70"/>
      <c r="AW1" s="70"/>
      <c r="AX1" s="70"/>
      <c r="AY1" s="70"/>
      <c r="AZ1" s="70"/>
      <c r="BA1" s="70"/>
      <c r="BB1" s="70"/>
      <c r="BC1" s="70"/>
      <c r="BD1" s="70"/>
      <c r="BE1" s="71"/>
      <c r="BF1" s="57" t="s">
        <v>9</v>
      </c>
      <c r="BG1" s="9"/>
      <c r="BH1" s="10" t="s">
        <v>100</v>
      </c>
      <c r="BI1" s="8"/>
      <c r="BJ1" s="8"/>
      <c r="BK1" s="8"/>
      <c r="BL1" s="56" t="s">
        <v>3</v>
      </c>
      <c r="BM1" s="12"/>
      <c r="BN1" s="42" t="s">
        <v>128</v>
      </c>
    </row>
    <row r="2" spans="1:66" s="4" customFormat="1" ht="29" x14ac:dyDescent="0.35">
      <c r="A2" s="1" t="s">
        <v>92</v>
      </c>
      <c r="B2" s="1" t="s">
        <v>76</v>
      </c>
      <c r="C2" s="1" t="s">
        <v>89</v>
      </c>
      <c r="D2" s="1" t="s">
        <v>87</v>
      </c>
      <c r="E2" s="1" t="s">
        <v>103</v>
      </c>
      <c r="F2" s="1" t="s">
        <v>0</v>
      </c>
      <c r="G2" s="1" t="s">
        <v>40</v>
      </c>
      <c r="H2" s="2" t="s">
        <v>41</v>
      </c>
      <c r="I2" s="2" t="s">
        <v>42</v>
      </c>
      <c r="J2" s="2" t="s">
        <v>43</v>
      </c>
      <c r="K2" s="2" t="s">
        <v>90</v>
      </c>
      <c r="L2" s="3" t="s">
        <v>131</v>
      </c>
      <c r="M2" s="3" t="s">
        <v>91</v>
      </c>
      <c r="N2" s="3" t="s">
        <v>85</v>
      </c>
      <c r="O2" s="53"/>
      <c r="P2" s="3" t="s">
        <v>132</v>
      </c>
      <c r="Q2" s="3" t="s">
        <v>109</v>
      </c>
      <c r="R2" s="5" t="s">
        <v>75</v>
      </c>
      <c r="S2" s="55"/>
      <c r="T2" s="6" t="s">
        <v>27</v>
      </c>
      <c r="U2" s="3" t="s">
        <v>75</v>
      </c>
      <c r="V2" s="60"/>
      <c r="W2" s="3" t="s">
        <v>91</v>
      </c>
      <c r="X2" s="3" t="s">
        <v>133</v>
      </c>
      <c r="Y2" s="3" t="s">
        <v>134</v>
      </c>
      <c r="Z2" s="62"/>
      <c r="AA2" s="3" t="s">
        <v>135</v>
      </c>
      <c r="AB2" s="3" t="s">
        <v>133</v>
      </c>
      <c r="AC2" s="3" t="s">
        <v>134</v>
      </c>
      <c r="AD2" s="64"/>
      <c r="AE2" s="3" t="s">
        <v>135</v>
      </c>
      <c r="AF2" s="3" t="s">
        <v>133</v>
      </c>
      <c r="AG2" s="3" t="s">
        <v>134</v>
      </c>
      <c r="AH2" s="66"/>
      <c r="AI2" s="3" t="s">
        <v>135</v>
      </c>
      <c r="AJ2" s="3" t="s">
        <v>136</v>
      </c>
      <c r="AK2" s="3" t="s">
        <v>133</v>
      </c>
      <c r="AL2" s="3" t="s">
        <v>134</v>
      </c>
      <c r="AM2" s="68"/>
      <c r="AN2" s="3" t="s">
        <v>137</v>
      </c>
      <c r="AO2" s="3" t="s">
        <v>138</v>
      </c>
      <c r="AP2" s="34"/>
      <c r="AQ2" s="3" t="s">
        <v>139</v>
      </c>
      <c r="AR2" s="3" t="s">
        <v>41</v>
      </c>
      <c r="AS2" s="3" t="s">
        <v>48</v>
      </c>
      <c r="AT2" s="3" t="s">
        <v>140</v>
      </c>
      <c r="AU2" s="3" t="s">
        <v>52</v>
      </c>
      <c r="AV2" s="3" t="s">
        <v>50</v>
      </c>
      <c r="AW2" s="3" t="s">
        <v>51</v>
      </c>
      <c r="AX2" s="3" t="s">
        <v>141</v>
      </c>
      <c r="AY2" s="3" t="s">
        <v>54</v>
      </c>
      <c r="AZ2" s="3" t="s">
        <v>53</v>
      </c>
      <c r="BA2" s="3" t="s">
        <v>77</v>
      </c>
      <c r="BB2" s="3" t="s">
        <v>78</v>
      </c>
      <c r="BC2" s="3" t="s">
        <v>83</v>
      </c>
      <c r="BD2" s="3" t="s">
        <v>84</v>
      </c>
      <c r="BE2" s="3" t="s">
        <v>127</v>
      </c>
      <c r="BF2" s="58"/>
      <c r="BG2" s="2" t="s">
        <v>142</v>
      </c>
      <c r="BH2" s="10"/>
      <c r="BI2" s="2" t="s">
        <v>142</v>
      </c>
      <c r="BJ2" s="2" t="s">
        <v>101</v>
      </c>
      <c r="BK2" s="1" t="s">
        <v>102</v>
      </c>
      <c r="BL2" s="56"/>
      <c r="BM2" s="2" t="s">
        <v>128</v>
      </c>
      <c r="BN2" s="42"/>
    </row>
    <row r="3" spans="1:66" ht="29" x14ac:dyDescent="0.35">
      <c r="A3" s="14" t="s">
        <v>93</v>
      </c>
      <c r="B3" s="14"/>
      <c r="C3" s="14" t="str" cm="1">
        <f t="array" ref="C3">IF(ISBLANK(B3),"",StripAccent(_xlfn.CONCAT("{prefix}_",SUBSTITUTE(SUBSTITUTE(SUBSTITUTE(SUBSTITUTE(SUBSTITUTE(SUBSTITUTE(SUBSTITUTE(B3,"/","")," ",""),")",""),"(",""),"#",""),"?",""),"'",""))))</f>
        <v/>
      </c>
      <c r="D3" s="14"/>
      <c r="E3" s="14"/>
      <c r="F3" s="14"/>
      <c r="G3" s="14" t="s">
        <v>26</v>
      </c>
      <c r="H3" s="28" t="s">
        <v>23</v>
      </c>
      <c r="I3" s="28" t="s">
        <v>24</v>
      </c>
      <c r="J3" s="28" t="s">
        <v>24</v>
      </c>
      <c r="K3" s="29" t="s">
        <v>19</v>
      </c>
      <c r="L3" s="14">
        <f>IF(D3=VD!A11,2000,100)</f>
        <v>100</v>
      </c>
      <c r="M3" s="28" t="s">
        <v>14</v>
      </c>
      <c r="N3" s="14"/>
      <c r="O3" s="15"/>
      <c r="P3" s="16"/>
      <c r="Q3" s="16"/>
      <c r="R3" s="16"/>
      <c r="S3" s="17"/>
      <c r="T3" s="16" t="s">
        <v>130</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111</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row>
    <row r="4" spans="1:66" ht="29" x14ac:dyDescent="0.35">
      <c r="A4" s="14" t="s">
        <v>93</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130</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111</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row>
    <row r="5" spans="1:66" ht="29" x14ac:dyDescent="0.35">
      <c r="A5" s="14" t="s">
        <v>93</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130</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111</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 ref="AP1:AP2"/>
    <mergeCell ref="W1:Y1"/>
    <mergeCell ref="AA1:AC1"/>
    <mergeCell ref="AE1:AG1"/>
    <mergeCell ref="AI1:AL1"/>
    <mergeCell ref="AN1:AO1"/>
  </mergeCells>
  <phoneticPr fontId="9" type="noConversion"/>
  <conditionalFormatting sqref="BM3:BM5">
    <cfRule type="expression" dxfId="55" priority="3">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6"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4"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3"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2"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1"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0"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9"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8"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7"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6"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5"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4"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3"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2"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1"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0"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9"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8"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7"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5"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3"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2"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1"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7"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2"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1"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0"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9"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2"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6"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0"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9"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8"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7"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0"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6"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5"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4"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3"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6"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5"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8"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7"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6"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4" id="{89601E9E-1AA7-49C6-93E9-9376BAEC7B99}">
            <xm:f>D3&lt;&gt;VD!$A$12</xm:f>
            <x14:dxf>
              <font>
                <color theme="1" tint="0.499984740745262"/>
              </font>
              <fill>
                <patternFill>
                  <bgColor theme="0" tint="-0.499984740745262"/>
                </patternFill>
              </fill>
            </x14:dxf>
          </x14:cfRule>
          <x14:cfRule type="expression" priority="5"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6"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2"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3"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4"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5"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6"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7"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8"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00000000-0002-0000-0000-000012000000}">
          <x14:formula1>
            <xm:f>IF(D3=VD!$A$2,VD!$C$2:$C$3,IF(OR(D3=VD!$A$5,D3=VD!$A$6,),VD!$C$2:$C$5,IF(OR(D3=VD!$A$12,D3=VD!$A$16),VD!$C$2:$C$4,IF(OR(D3=VD!$A$14,D3=VD!$A$15),VD!$C$7:$C$9,VD!$C$2))))</xm:f>
          </x14:formula1>
          <xm:sqref>K3:K5</xm:sqref>
        </x14:dataValidation>
        <x14:dataValidation type="list" allowBlank="1" showInputMessage="1" showErrorMessage="1" xr:uid="{97E6D7EC-E8F7-4F91-9345-C4E5605D134F}">
          <x14:formula1>
            <xm:f>IF(D3=VD!$A$14,SingleList,MultiList)</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2" t="s">
        <v>118</v>
      </c>
      <c r="B1" s="72"/>
      <c r="C1" s="72"/>
      <c r="D1" s="73" t="s">
        <v>119</v>
      </c>
      <c r="E1" s="73"/>
      <c r="F1" s="73"/>
      <c r="G1" s="73"/>
      <c r="H1" s="73"/>
      <c r="I1" s="74" t="s">
        <v>120</v>
      </c>
      <c r="J1" s="74"/>
      <c r="K1" s="74"/>
      <c r="L1" s="74"/>
      <c r="M1" s="74"/>
    </row>
    <row r="2" spans="1:13" x14ac:dyDescent="0.35">
      <c r="A2" s="11" t="s">
        <v>92</v>
      </c>
      <c r="B2" s="11" t="s">
        <v>121</v>
      </c>
      <c r="C2" s="11" t="s">
        <v>122</v>
      </c>
      <c r="D2" s="11" t="s">
        <v>123</v>
      </c>
      <c r="E2" s="11" t="s">
        <v>49</v>
      </c>
      <c r="F2" s="11" t="s">
        <v>124</v>
      </c>
      <c r="G2" s="11" t="s">
        <v>125</v>
      </c>
      <c r="H2" s="11" t="s">
        <v>126</v>
      </c>
      <c r="I2" s="11" t="s">
        <v>123</v>
      </c>
      <c r="J2" s="11" t="s">
        <v>49</v>
      </c>
      <c r="K2" s="11" t="s">
        <v>124</v>
      </c>
      <c r="L2" s="11" t="s">
        <v>125</v>
      </c>
      <c r="M2" s="11" t="s">
        <v>126</v>
      </c>
    </row>
    <row r="3" spans="1:13" x14ac:dyDescent="0.35">
      <c r="A3" t="s">
        <v>93</v>
      </c>
      <c r="C3" t="s">
        <v>23</v>
      </c>
      <c r="E3" t="s">
        <v>57</v>
      </c>
      <c r="G3" t="s">
        <v>59</v>
      </c>
      <c r="H3">
        <v>10000</v>
      </c>
      <c r="J3" t="s">
        <v>57</v>
      </c>
      <c r="L3" t="s">
        <v>59</v>
      </c>
      <c r="M3">
        <v>10000</v>
      </c>
    </row>
    <row r="4" spans="1:13" x14ac:dyDescent="0.35">
      <c r="A4" t="s">
        <v>93</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14" sqref="A14"/>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92</v>
      </c>
      <c r="P1" t="s">
        <v>111</v>
      </c>
    </row>
    <row r="2" spans="1:16" x14ac:dyDescent="0.35">
      <c r="A2" t="s">
        <v>106</v>
      </c>
      <c r="B2" t="s">
        <v>13</v>
      </c>
      <c r="C2" t="s">
        <v>19</v>
      </c>
      <c r="D2" t="s">
        <v>23</v>
      </c>
      <c r="E2" t="s">
        <v>26</v>
      </c>
      <c r="F2" t="s">
        <v>29</v>
      </c>
      <c r="G2" t="s">
        <v>37</v>
      </c>
      <c r="H2" t="s">
        <v>39</v>
      </c>
      <c r="I2" t="s">
        <v>56</v>
      </c>
      <c r="J2" t="s">
        <v>59</v>
      </c>
      <c r="K2" t="s">
        <v>66</v>
      </c>
      <c r="L2" t="s">
        <v>68</v>
      </c>
      <c r="M2" t="s">
        <v>69</v>
      </c>
      <c r="N2" t="s">
        <v>80</v>
      </c>
      <c r="O2" t="s">
        <v>93</v>
      </c>
      <c r="P2" t="s">
        <v>112</v>
      </c>
    </row>
    <row r="3" spans="1:16" x14ac:dyDescent="0.35">
      <c r="A3" t="s">
        <v>107</v>
      </c>
      <c r="B3" t="s">
        <v>14</v>
      </c>
      <c r="C3" t="s">
        <v>20</v>
      </c>
      <c r="D3" t="s">
        <v>24</v>
      </c>
      <c r="E3" t="s">
        <v>110</v>
      </c>
      <c r="F3" t="s">
        <v>30</v>
      </c>
      <c r="G3" t="s">
        <v>8</v>
      </c>
      <c r="H3" t="s">
        <v>37</v>
      </c>
      <c r="I3" t="s">
        <v>52</v>
      </c>
      <c r="J3" t="s">
        <v>60</v>
      </c>
      <c r="K3" t="s">
        <v>64</v>
      </c>
      <c r="L3" t="s">
        <v>70</v>
      </c>
      <c r="M3" t="s">
        <v>74</v>
      </c>
      <c r="N3" t="s">
        <v>81</v>
      </c>
      <c r="O3" t="s">
        <v>94</v>
      </c>
      <c r="P3" t="s">
        <v>113</v>
      </c>
    </row>
    <row r="4" spans="1:16" x14ac:dyDescent="0.35">
      <c r="A4" t="s">
        <v>86</v>
      </c>
      <c r="B4" t="s">
        <v>15</v>
      </c>
      <c r="C4" t="s">
        <v>21</v>
      </c>
      <c r="E4" t="s">
        <v>45</v>
      </c>
      <c r="F4" t="s">
        <v>31</v>
      </c>
      <c r="H4" t="s">
        <v>47</v>
      </c>
      <c r="I4" t="s">
        <v>57</v>
      </c>
      <c r="J4" t="s">
        <v>61</v>
      </c>
      <c r="K4" t="s">
        <v>65</v>
      </c>
      <c r="L4" t="s">
        <v>71</v>
      </c>
      <c r="M4" t="s">
        <v>73</v>
      </c>
      <c r="O4" t="s">
        <v>129</v>
      </c>
    </row>
    <row r="5" spans="1:16" x14ac:dyDescent="0.35">
      <c r="A5" t="s">
        <v>8</v>
      </c>
      <c r="B5" t="s">
        <v>16</v>
      </c>
      <c r="C5" t="s">
        <v>128</v>
      </c>
      <c r="F5" t="s">
        <v>32</v>
      </c>
      <c r="J5" t="s">
        <v>62</v>
      </c>
      <c r="K5" t="s">
        <v>67</v>
      </c>
      <c r="L5" t="s">
        <v>29</v>
      </c>
    </row>
    <row r="6" spans="1:16" x14ac:dyDescent="0.35">
      <c r="A6" t="s">
        <v>6</v>
      </c>
      <c r="B6" t="s">
        <v>44</v>
      </c>
      <c r="F6" t="s">
        <v>99</v>
      </c>
    </row>
    <row r="7" spans="1:16" x14ac:dyDescent="0.35">
      <c r="A7" t="s">
        <v>100</v>
      </c>
      <c r="B7" t="s">
        <v>17</v>
      </c>
      <c r="C7" t="s">
        <v>19</v>
      </c>
    </row>
    <row r="8" spans="1:16" x14ac:dyDescent="0.35">
      <c r="A8" t="s">
        <v>5</v>
      </c>
      <c r="B8" t="s">
        <v>97</v>
      </c>
      <c r="C8" t="s">
        <v>20</v>
      </c>
    </row>
    <row r="9" spans="1:16" x14ac:dyDescent="0.35">
      <c r="A9" t="s">
        <v>3</v>
      </c>
      <c r="B9" t="s">
        <v>98</v>
      </c>
      <c r="C9" t="s">
        <v>128</v>
      </c>
    </row>
    <row r="10" spans="1:16" x14ac:dyDescent="0.35">
      <c r="A10" t="s">
        <v>9</v>
      </c>
    </row>
    <row r="11" spans="1:16" x14ac:dyDescent="0.35">
      <c r="A11" t="s">
        <v>114</v>
      </c>
      <c r="B11" t="s">
        <v>14</v>
      </c>
    </row>
    <row r="12" spans="1:16" x14ac:dyDescent="0.35">
      <c r="A12" t="s">
        <v>7</v>
      </c>
      <c r="B12" t="s">
        <v>144</v>
      </c>
    </row>
    <row r="13" spans="1:16" x14ac:dyDescent="0.35">
      <c r="A13" t="s">
        <v>46</v>
      </c>
    </row>
    <row r="14" spans="1:16" x14ac:dyDescent="0.35">
      <c r="A14" t="s">
        <v>1</v>
      </c>
    </row>
    <row r="15" spans="1:16" x14ac:dyDescent="0.35">
      <c r="A15" t="s">
        <v>2</v>
      </c>
    </row>
    <row r="16" spans="1:16" x14ac:dyDescent="0.35">
      <c r="A16" t="s">
        <v>4</v>
      </c>
    </row>
    <row r="17" spans="1:1" x14ac:dyDescent="0.35">
      <c r="A17" t="s">
        <v>115</v>
      </c>
    </row>
    <row r="18" spans="1:1" x14ac:dyDescent="0.35">
      <c r="A18" t="s">
        <v>116</v>
      </c>
    </row>
    <row r="19" spans="1:1" x14ac:dyDescent="0.35">
      <c r="A19" t="s">
        <v>117</v>
      </c>
    </row>
    <row r="23" spans="1:1" x14ac:dyDescent="0.35">
      <c r="A23" t="s">
        <v>1</v>
      </c>
    </row>
    <row r="24" spans="1:1" x14ac:dyDescent="0.35">
      <c r="A24" t="s">
        <v>106</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107</v>
      </c>
    </row>
    <row r="36" spans="1:1" x14ac:dyDescent="0.35">
      <c r="A36" t="s">
        <v>100</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2023-12-17T15:59:11Z</dcterms:modified>
</cp:coreProperties>
</file>