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0207AAEC-2054-4216-B19F-2A6C45B56643}" xr6:coauthVersionLast="47" xr6:coauthVersionMax="47" xr10:uidLastSave="{00000000-0000-0000-0000-000000000000}"/>
  <bookViews>
    <workbookView xWindow="-108" yWindow="-108" windowWidth="23256" windowHeight="13896" xr2:uid="{00000000-000D-0000-FFFF-FFFF00000000}"/>
  </bookViews>
  <sheets>
    <sheet name="Attributes" sheetId="1" r:id="rId1"/>
    <sheet name="Many-to-many" sheetId="3" r:id="rId2"/>
    <sheet name="VD" sheetId="2" state="hidden" r:id="rId3"/>
  </sheets>
  <functionGroups builtInGroupCount="19"/>
  <definedNames>
    <definedName name="MultiList">VD!$B$11:$B$12</definedName>
    <definedName name="SingleList">VD!$B$2:$B$9</definedName>
    <definedName name="Z_3FD5CC6D_26AF_47D3_B703_CD7B509DDA43_.wvu.Cols" localSheetId="0" hidden="1">Attributes!$P:$R,Attributes!$T:$U,Attributes!$W:$Y,Attributes!$AA:$AC,Attributes!$AE:$AG,Attributes!$AI:$AL,Attributes!$AN:$AO,Attributes!$AQ:$BD</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3" i="1" l="1"/>
  <c r="L4" i="1"/>
  <c r="L5" i="1"/>
  <c r="C5" i="1" a="1"/>
  <c r="C5" i="1" s="1"/>
  <c r="C4" i="1" a="1"/>
  <c r="C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Factory tool in XrmToolBox
You can also use tag {prefix} that will be replaced by the prefix of the targeted solution.
For example : {prefix}_MyCustomAttribute</t>
        </r>
      </text>
    </comment>
    <comment ref="E2" authorId="0" shapeId="0" xr:uid="{00000000-0006-0000-0000-000003000000}">
      <text>
        <r>
          <rPr>
            <b/>
            <sz val="9"/>
            <color indexed="81"/>
            <rFont val="Tahoma"/>
            <family val="2"/>
          </rPr>
          <t>Tanguy Touzard:</t>
        </r>
        <r>
          <rPr>
            <sz val="9"/>
            <color indexed="81"/>
            <rFont val="Tahoma"/>
            <family val="2"/>
          </rPr>
          <t xml:space="preserve">
Use table schema name or logical name. The schema name will be used to create the table if it does not exist yet in the target environement
You can also use tag {prefix} that will be replaced by the prefix of the targeted solution.
For example : {prefix}_MyCustomTable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
For the behavior Formula, this is up to you to determine the resulting type of the formula defined in column BM</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https://learn.microsoft.com/en-us/dynamics365/customerengagement/on-premises/developer/create-auto-number-attributes?view=op-9-1#autonumberformat-options for more information on format to use
</t>
        </r>
      </text>
    </comment>
    <comment ref="P2" authorId="0" shapeId="0" xr:uid="{00000000-0006-0000-0000-00000A000000}">
      <text>
        <r>
          <rPr>
            <b/>
            <sz val="9"/>
            <color indexed="81"/>
            <rFont val="Tahoma"/>
            <family val="2"/>
          </rPr>
          <t>Tanguy Touzard:</t>
        </r>
        <r>
          <rPr>
            <sz val="9"/>
            <color indexed="81"/>
            <rFont val="Tahoma"/>
            <family val="2"/>
          </rPr>
          <t xml:space="preserve">
One row per value
value:label:description([OnlyForV9+]:externalValue)
example:
0:Label One:Desc One:abc
1:Label Two:Desc Two:def
2:Label Three:Desc Three:ghi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0:FalseLabel:FalseDescription
1:TrueLabel:TrueDescription</t>
        </r>
      </text>
    </comment>
    <comment ref="AN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Q2" authorId="0" shapeId="0" xr:uid="{00000000-0006-0000-0000-00000F000000}">
      <text>
        <r>
          <rPr>
            <b/>
            <sz val="9"/>
            <color indexed="81"/>
            <rFont val="Tahoma"/>
            <family val="2"/>
          </rPr>
          <t>Tanguy Touzard:</t>
        </r>
        <r>
          <rPr>
            <sz val="9"/>
            <color indexed="81"/>
            <rFont val="Tahoma"/>
            <family val="2"/>
          </rPr>
          <t xml:space="preserve">
Use schema or logical name of target table
examples:
account
mctools_mycustomentity
You can also use tag {prefix} that will be replaced by the prefix of the target solution.
For example : {prefix}_MyCustomTable
For multi table lookups, add one line per targeted entity </t>
        </r>
      </text>
    </comment>
    <comment ref="AU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 ref="BE2" authorId="0" shapeId="0" xr:uid="{C26BEEAF-1AC9-4234-937D-4B6E00BF7EEB}">
      <text>
        <r>
          <rPr>
            <b/>
            <sz val="9"/>
            <color indexed="81"/>
            <rFont val="Tahoma"/>
            <family val="2"/>
          </rPr>
          <t>Tanguy Touzard:</t>
        </r>
        <r>
          <rPr>
            <sz val="9"/>
            <color indexed="81"/>
            <rFont val="Tahoma"/>
            <family val="2"/>
          </rPr>
          <t xml:space="preserve">
Schema name for the relationship
If left empty, it will be auto generated</t>
        </r>
      </text>
    </comment>
    <comment ref="BO2" authorId="1" shapeId="0" xr:uid="{6CA21F96-483B-40F8-8D1C-4A8D24A9D613}">
      <text>
        <r>
          <rPr>
            <b/>
            <sz val="9"/>
            <color indexed="81"/>
            <rFont val="Tahoma"/>
            <family val="2"/>
          </rPr>
          <t>Tanguy TOUZARD:</t>
        </r>
        <r>
          <rPr>
            <sz val="9"/>
            <color indexed="81"/>
            <rFont val="Tahoma"/>
            <family val="2"/>
          </rPr>
          <t xml:space="preserve">
If the column must be part of an alternate key, then provide DisplayName and SchemaName for the key the column is part of.
When multiple columns are part of the key, paste the same content for the key in each column information row.
When a column is part of multiple alternate keys, use one line per key
Example:
The Alternate Key 1:prefix_TheAlternateKey1
The Alternate Key 2:prefix_TheAlternateKey2</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<sst xmlns="http://schemas.openxmlformats.org/spreadsheetml/2006/main" count="293" uniqueCount="146">
  <si>
    <t>Description</t>
  </si>
  <si>
    <t>Single line of text</t>
  </si>
  <si>
    <t>Two options</t>
  </si>
  <si>
    <t>Image</t>
  </si>
  <si>
    <t>Whole number</t>
  </si>
  <si>
    <t>Float number</t>
  </si>
  <si>
    <t>Decimal number</t>
  </si>
  <si>
    <t>Money</t>
  </si>
  <si>
    <t>Date and time</t>
  </si>
  <si>
    <t>Lookup</t>
  </si>
  <si>
    <t>Single Line of Text</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</si>
  <si>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</si>
  <si>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</si>
  <si>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</si>
  <si>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</si>
  <si>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</si>
  <si>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</si>
  <si>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</si>
  <si>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</si>
  <si>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</si>
  <si>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</si>
  <si>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</si>
  <si>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</si>
  <si>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</si>
  <si>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</si>
  <si>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</si>
  <si>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</si>
  <si>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</si>
  <si>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</si>
  <si>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</si>
  <si>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</si>
  <si>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</si>
  <si>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</si>
  <si>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Floating Number</t>
  </si>
  <si>
    <t>Decimal Number</t>
  </si>
  <si>
    <t>DateTime</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</si>
  <si>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</si>
  <si>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</si>
  <si>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</si>
  <si>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</si>
  <si>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</si>
  <si>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</si>
  <si>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</si>
  <si>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</si>
  <si>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</si>
  <si>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</si>
  <si>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</si>
  <si>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</si>
  <si>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</si>
  <si>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</si>
  <si>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</si>
  <si>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</si>
  <si>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</si>
  <si>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</si>
  <si>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</si>
  <si>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</si>
  <si>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</si>
  <si>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</si>
  <si>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</si>
  <si>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</si>
  <si>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</si>
  <si>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</si>
  <si>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</si>
  <si>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</si>
  <si>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</si>
  <si>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</si>
  <si>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</si>
  <si>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</si>
  <si>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</si>
  <si>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</si>
  <si>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</si>
  <si>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</si>
  <si>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</si>
  <si>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</si>
  <si>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</si>
  <si>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</si>
  <si>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</si>
  <si>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</si>
  <si>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</si>
  <si>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</si>
  <si>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</si>
  <si>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</si>
  <si>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</si>
  <si>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</si>
  <si>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</si>
  <si>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</si>
  <si>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</si>
  <si>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</si>
  <si>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</si>
  <si>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</si>
  <si>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</si>
  <si>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t>Action</t>
  </si>
  <si>
    <t>Process</t>
  </si>
  <si>
    <t>Ignore</t>
  </si>
  <si>
    <t>Decimal</t>
  </si>
  <si>
    <t>Floating</t>
  </si>
  <si>
    <t>Phonetic guide</t>
  </si>
  <si>
    <t>Version number</t>
  </si>
  <si>
    <t>Locale</t>
  </si>
  <si>
    <t>File</t>
  </si>
  <si>
    <t>Can store full picture</t>
  </si>
  <si>
    <t>Is Primary Image</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</si>
  <si>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</si>
  <si>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</si>
  <si>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</si>
  <si>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</si>
  <si>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</si>
  <si>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</si>
  <si>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</si>
  <si>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</si>
  <si>
    <t>Specific Precision</t>
  </si>
  <si>
    <t>Pricing Decimal Precision</t>
  </si>
  <si>
    <t>Currency Precision</t>
  </si>
  <si>
    <t>Lookup (Multi table)</t>
  </si>
  <si>
    <t>OwnerType</t>
  </si>
  <si>
    <t>StateType</t>
  </si>
  <si>
    <t>StatusType</t>
  </si>
  <si>
    <t>* : Required</t>
  </si>
  <si>
    <t>Table 1</t>
  </si>
  <si>
    <t>Table 2</t>
  </si>
  <si>
    <t>Schema name *</t>
  </si>
  <si>
    <t>Valid for Advanced Find</t>
  </si>
  <si>
    <t>Logical name *</t>
  </si>
  <si>
    <t>Label</t>
  </si>
  <si>
    <t>Group</t>
  </si>
  <si>
    <t>Order</t>
  </si>
  <si>
    <r>
      <t xml:space="preserve">Schema Name </t>
    </r>
    <r>
      <rPr>
        <sz val="11"/>
        <color rgb="FF00B050"/>
        <rFont val="Calibri"/>
        <family val="2"/>
        <scheme val="minor"/>
      </rPr>
      <t>*</t>
    </r>
  </si>
  <si>
    <t>Formula</t>
  </si>
  <si>
    <t>Delete</t>
  </si>
  <si>
    <t>0:No
1:Yes</t>
  </si>
  <si>
    <r>
      <t xml:space="preserve">Max length </t>
    </r>
    <r>
      <rPr>
        <sz val="11"/>
        <color rgb="FFFF0000"/>
        <rFont val="Calibri"/>
        <family val="2"/>
        <scheme val="minor"/>
      </rPr>
      <t>*</t>
    </r>
  </si>
  <si>
    <r>
      <t xml:space="preserve">Values </t>
    </r>
    <r>
      <rPr>
        <sz val="11"/>
        <color rgb="FFFF0000"/>
        <rFont val="Calibri"/>
        <family val="2"/>
        <scheme val="minor"/>
      </rPr>
      <t>*</t>
    </r>
  </si>
  <si>
    <r>
      <t xml:space="preserve">Min value </t>
    </r>
    <r>
      <rPr>
        <sz val="11"/>
        <color rgb="FFFF0000"/>
        <rFont val="Calibri"/>
        <family val="2"/>
        <scheme val="minor"/>
      </rPr>
      <t>*</t>
    </r>
  </si>
  <si>
    <r>
      <t xml:space="preserve">Max value </t>
    </r>
    <r>
      <rPr>
        <sz val="11"/>
        <color rgb="FFFF0000"/>
        <rFont val="Calibri"/>
        <family val="2"/>
        <scheme val="minor"/>
      </rPr>
      <t>*</t>
    </r>
  </si>
  <si>
    <r>
      <t xml:space="preserve">Precision </t>
    </r>
    <r>
      <rPr>
        <sz val="11"/>
        <color rgb="FFFF0000"/>
        <rFont val="Calibri"/>
        <family val="2"/>
        <scheme val="minor"/>
      </rPr>
      <t>*</t>
    </r>
  </si>
  <si>
    <r>
      <t xml:space="preserve">Precision Source </t>
    </r>
    <r>
      <rPr>
        <sz val="11"/>
        <color rgb="FFFF0000"/>
        <rFont val="Calibri"/>
        <family val="2"/>
        <scheme val="minor"/>
      </rPr>
      <t>*</t>
    </r>
  </si>
  <si>
    <r>
      <t xml:space="preserve">Behavior </t>
    </r>
    <r>
      <rPr>
        <sz val="11"/>
        <color rgb="FFFF0000"/>
        <rFont val="Calibri"/>
        <family val="2"/>
        <scheme val="minor"/>
      </rPr>
      <t>*</t>
    </r>
    <r>
      <rPr>
        <sz val="11"/>
        <color rgb="FF00B050"/>
        <rFont val="Calibri"/>
        <family val="2"/>
        <scheme val="minor"/>
      </rPr>
      <t>*</t>
    </r>
  </si>
  <si>
    <r>
      <t xml:space="preserve">Format </t>
    </r>
    <r>
      <rPr>
        <sz val="11"/>
        <color rgb="FFFF0000"/>
        <rFont val="Calibri"/>
        <family val="2"/>
        <scheme val="minor"/>
      </rPr>
      <t>*</t>
    </r>
  </si>
  <si>
    <r>
      <t xml:space="preserve">Target </t>
    </r>
    <r>
      <rPr>
        <sz val="11"/>
        <color rgb="FF00B050"/>
        <rFont val="Calibri"/>
        <family val="2"/>
        <scheme val="minor"/>
      </rPr>
      <t>*</t>
    </r>
    <r>
      <rPr>
        <sz val="11"/>
        <color rgb="FFFF0000"/>
        <rFont val="Calibri"/>
        <family val="2"/>
        <scheme val="minor"/>
      </rPr>
      <t>*</t>
    </r>
  </si>
  <si>
    <r>
      <t xml:space="preserve">Display behavior </t>
    </r>
    <r>
      <rPr>
        <sz val="11"/>
        <color rgb="FFFF0000"/>
        <rFont val="Calibri"/>
        <family val="2"/>
        <scheme val="minor"/>
      </rPr>
      <t>*</t>
    </r>
  </si>
  <si>
    <r>
      <t xml:space="preserve">Behavior </t>
    </r>
    <r>
      <rPr>
        <sz val="11"/>
        <color rgb="FFFF0000"/>
        <rFont val="Calibri"/>
        <family val="2"/>
        <scheme val="minor"/>
      </rPr>
      <t>*</t>
    </r>
  </si>
  <si>
    <r>
      <t xml:space="preserve">Max size in KB </t>
    </r>
    <r>
      <rPr>
        <sz val="11"/>
        <color rgb="FFFF0000"/>
        <rFont val="Calibri"/>
        <family val="2"/>
        <scheme val="minor"/>
      </rPr>
      <t>*</t>
    </r>
  </si>
  <si>
    <t>Only fill white background cells. Grey background cells become white depending on column type. 
From default template, only three first rows embed validation logic. Insert new rows before last row to add more attributes, then copy the content (from column H to column BN)  of the three first rows to the newly insterted rows to apply default values in each type cells</t>
  </si>
  <si>
    <t>Rich Text</t>
  </si>
  <si>
    <r>
      <t xml:space="preserve">Behavior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</si>
  <si>
    <t>Alternate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</si>
</sst>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
      <b/>
      <sz val="11"/>
      <color theme="1"/>
      <name val="Calibri"/>
      <family val="2"/>
      <scheme val="minor"/>
    </font>
    <font>
      <b/>
      <sz val="12"/>
      <color theme="0"/>
      <name val="Calibri"/>
      <family val="2"/>
      <scheme val="minor"/>
    </font>
  </fonts>
  <fills count="18">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9"/>
        <bgColor indexed="64"/>
      </patternFill>
    </fill>
    <fill>
      <patternFill patternType="solid">
        <fgColor rgb="FFFF6E1D"/>
        <bgColor indexed="64"/>
      </patternFill>
    </fill>
    <fill>
      <patternFill patternType="solid">
        <fgColor theme="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s>
  <cellStyleXfs count="1">
    <xf numFmtId="0" fontId="0" fillId="0" borderId="0"/>
  </cellStyleXfs>
  <cellXfs count="78">
    <xf numFmtId="0" fontId="0" fillId="0" borderId="0" xfId="0"/>
    <xf numFmtId="0" fontId="0" fillId="0" borderId="3" xfId="0"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0" fillId="0" borderId="0" xfId="0" applyAlignment="1">
      <alignment vertical="top"/>
    </xf>
    <xf numFmtId="0" fontId="0" fillId="13" borderId="0" xfId="0" applyFill="1" applyAlignment="1">
      <alignment vertical="top" wrapText="1"/>
    </xf>
    <xf numFmtId="0" fontId="0" fillId="14" borderId="0" xfId="0" applyFill="1" applyAlignment="1">
      <alignment vertical="top" wrapText="1"/>
    </xf>
    <xf numFmtId="0" fontId="8" fillId="14" borderId="9" xfId="0" applyFont="1" applyFill="1" applyBorder="1" applyAlignment="1">
      <alignment vertical="top" textRotation="180" wrapText="1"/>
    </xf>
    <xf numFmtId="0" fontId="10" fillId="0" borderId="1" xfId="0" applyFont="1" applyBorder="1"/>
    <xf numFmtId="0" fontId="8" fillId="16" borderId="0" xfId="0" applyFont="1" applyFill="1" applyAlignment="1">
      <alignment vertical="center" wrapText="1"/>
    </xf>
    <xf numFmtId="0" fontId="8" fillId="4" borderId="5" xfId="0" applyFont="1" applyFill="1" applyBorder="1" applyAlignment="1">
      <alignment horizontal="center" vertical="top" wrapText="1"/>
    </xf>
    <xf numFmtId="0" fontId="0" fillId="0" borderId="0" xfId="0" applyAlignment="1">
      <alignment vertical="center"/>
    </xf>
    <xf numFmtId="0" fontId="8" fillId="4" borderId="12" xfId="0" applyFont="1" applyFill="1" applyBorder="1" applyAlignment="1">
      <alignment vertical="center" textRotation="180"/>
    </xf>
    <xf numFmtId="0" fontId="0" fillId="0" borderId="0" xfId="0" applyAlignment="1">
      <alignment vertical="center" wrapText="1"/>
    </xf>
    <xf numFmtId="0" fontId="8" fillId="5" borderId="12" xfId="0" applyFont="1" applyFill="1" applyBorder="1" applyAlignment="1">
      <alignment vertical="center" textRotation="180"/>
    </xf>
    <xf numFmtId="0" fontId="8" fillId="6" borderId="12" xfId="0" applyFont="1" applyFill="1" applyBorder="1" applyAlignment="1">
      <alignment vertical="center" textRotation="180"/>
    </xf>
    <xf numFmtId="0" fontId="0" fillId="7" borderId="12" xfId="0" applyFill="1" applyBorder="1" applyAlignment="1">
      <alignment vertical="center" textRotation="180"/>
    </xf>
    <xf numFmtId="0" fontId="8" fillId="8" borderId="12" xfId="0" applyFont="1" applyFill="1" applyBorder="1" applyAlignment="1">
      <alignment vertical="center" textRotation="180"/>
    </xf>
    <xf numFmtId="0" fontId="8" fillId="9" borderId="12" xfId="0" applyFont="1" applyFill="1" applyBorder="1" applyAlignment="1">
      <alignment vertical="center" textRotation="180"/>
    </xf>
    <xf numFmtId="0" fontId="0" fillId="10" borderId="12" xfId="0" applyFill="1" applyBorder="1" applyAlignment="1">
      <alignment vertical="center" textRotation="180"/>
    </xf>
    <xf numFmtId="0" fontId="8" fillId="11" borderId="12" xfId="0" applyFont="1" applyFill="1" applyBorder="1" applyAlignment="1">
      <alignment vertical="center" textRotation="180"/>
    </xf>
    <xf numFmtId="0" fontId="8" fillId="12" borderId="12" xfId="0" applyFont="1" applyFill="1" applyBorder="1" applyAlignment="1">
      <alignment vertical="center" textRotation="180"/>
    </xf>
    <xf numFmtId="0" fontId="8" fillId="14" borderId="9" xfId="0" applyFont="1" applyFill="1" applyBorder="1" applyAlignment="1">
      <alignment vertical="center" textRotation="180" wrapText="1"/>
    </xf>
    <xf numFmtId="0" fontId="8" fillId="13" borderId="9" xfId="0" applyFont="1" applyFill="1" applyBorder="1" applyAlignment="1">
      <alignment vertical="center" textRotation="180" wrapText="1"/>
    </xf>
    <xf numFmtId="0" fontId="0" fillId="16" borderId="9" xfId="0" applyFill="1" applyBorder="1" applyAlignment="1">
      <alignment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3" xfId="0" applyBorder="1" applyAlignment="1">
      <alignment horizontal="center" vertical="center"/>
    </xf>
    <xf numFmtId="0" fontId="0" fillId="3" borderId="0" xfId="0" applyFill="1" applyAlignment="1">
      <alignment horizontal="center" vertical="center"/>
    </xf>
    <xf numFmtId="0" fontId="0" fillId="0" borderId="11" xfId="0" applyBorder="1" applyAlignment="1">
      <alignment vertical="top" wrapText="1"/>
    </xf>
    <xf numFmtId="0" fontId="0" fillId="17" borderId="0" xfId="0" applyFill="1" applyAlignment="1">
      <alignment vertical="top" wrapText="1"/>
    </xf>
    <xf numFmtId="0" fontId="8" fillId="17" borderId="0" xfId="0" applyFont="1" applyFill="1" applyAlignment="1">
      <alignment horizontal="center" vertical="top" textRotation="180" wrapText="1"/>
    </xf>
    <xf numFmtId="0" fontId="8" fillId="11" borderId="11" xfId="0" applyFont="1" applyFill="1" applyBorder="1" applyAlignment="1">
      <alignment horizontal="center" vertical="top" textRotation="180"/>
    </xf>
    <xf numFmtId="0" fontId="8" fillId="11" borderId="12" xfId="0" applyFont="1" applyFill="1" applyBorder="1" applyAlignment="1">
      <alignment horizontal="center" vertical="top" textRotation="180"/>
    </xf>
    <xf numFmtId="0" fontId="8" fillId="16" borderId="9" xfId="0" applyFont="1" applyFill="1" applyBorder="1" applyAlignment="1">
      <alignment horizontal="center" vertical="top" textRotation="180" wrapText="1"/>
    </xf>
    <xf numFmtId="0" fontId="8" fillId="4" borderId="11" xfId="0" applyFont="1" applyFill="1" applyBorder="1" applyAlignment="1">
      <alignment horizontal="center" vertical="top" textRotation="180"/>
    </xf>
    <xf numFmtId="0" fontId="8" fillId="4" borderId="12" xfId="0" applyFont="1" applyFill="1" applyBorder="1" applyAlignment="1">
      <alignment horizontal="center" vertical="top" textRotation="180"/>
    </xf>
    <xf numFmtId="0" fontId="8" fillId="5" borderId="11" xfId="0" applyFont="1" applyFill="1" applyBorder="1" applyAlignment="1">
      <alignment horizontal="center" vertical="top" textRotation="180"/>
    </xf>
    <xf numFmtId="0" fontId="8" fillId="5" borderId="12" xfId="0" applyFont="1" applyFill="1" applyBorder="1" applyAlignment="1">
      <alignment horizontal="center" vertical="top" textRotation="180"/>
    </xf>
    <xf numFmtId="0" fontId="8" fillId="13" borderId="9" xfId="0" applyFont="1" applyFill="1" applyBorder="1" applyAlignment="1">
      <alignment horizontal="center" vertical="top" textRotation="180" wrapText="1"/>
    </xf>
    <xf numFmtId="0" fontId="8" fillId="12" borderId="11" xfId="0" applyFont="1" applyFill="1" applyBorder="1" applyAlignment="1">
      <alignment horizontal="center" vertical="top" textRotation="180"/>
    </xf>
    <xf numFmtId="0" fontId="8" fillId="12" borderId="12" xfId="0" applyFont="1" applyFill="1" applyBorder="1" applyAlignment="1">
      <alignment horizontal="center" vertical="top" textRotation="180"/>
    </xf>
    <xf numFmtId="0" fontId="8" fillId="6" borderId="11" xfId="0" applyFont="1" applyFill="1" applyBorder="1" applyAlignment="1">
      <alignment horizontal="center" vertical="top" textRotation="180"/>
    </xf>
    <xf numFmtId="0" fontId="8"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8" fillId="8" borderId="11" xfId="0" applyFont="1" applyFill="1" applyBorder="1" applyAlignment="1">
      <alignment horizontal="center" vertical="top" textRotation="180"/>
    </xf>
    <xf numFmtId="0" fontId="8" fillId="8" borderId="12" xfId="0" applyFont="1" applyFill="1" applyBorder="1" applyAlignment="1">
      <alignment horizontal="center" vertical="top" textRotation="180"/>
    </xf>
    <xf numFmtId="0" fontId="8" fillId="9" borderId="11" xfId="0" applyFont="1" applyFill="1" applyBorder="1" applyAlignment="1">
      <alignment horizontal="center" vertical="top" textRotation="180"/>
    </xf>
    <xf numFmtId="0" fontId="8"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8" fillId="4" borderId="4" xfId="0" applyFont="1" applyFill="1" applyBorder="1" applyAlignment="1">
      <alignment horizontal="center" vertical="top" wrapText="1"/>
    </xf>
    <xf numFmtId="0" fontId="8" fillId="4" borderId="6" xfId="0" applyFont="1" applyFill="1" applyBorder="1" applyAlignment="1">
      <alignment horizontal="center" vertical="top" wrapText="1"/>
    </xf>
    <xf numFmtId="0" fontId="4" fillId="2" borderId="2" xfId="0" applyFont="1" applyFill="1" applyBorder="1" applyAlignment="1">
      <alignment horizontal="left" vertical="top" wrapText="1"/>
    </xf>
    <xf numFmtId="0" fontId="4" fillId="2" borderId="7" xfId="0" applyFont="1" applyFill="1" applyBorder="1" applyAlignment="1">
      <alignment horizontal="left" vertical="top" wrapText="1"/>
    </xf>
    <xf numFmtId="0" fontId="4" fillId="3" borderId="10" xfId="0" applyFont="1" applyFill="1" applyBorder="1" applyAlignment="1">
      <alignment vertical="top" wrapText="1"/>
    </xf>
    <xf numFmtId="0" fontId="4" fillId="3" borderId="2" xfId="0" applyFont="1" applyFill="1" applyBorder="1" applyAlignment="1">
      <alignment vertical="top" wrapText="1"/>
    </xf>
    <xf numFmtId="0" fontId="4" fillId="3" borderId="7" xfId="0" applyFont="1" applyFill="1" applyBorder="1" applyAlignment="1">
      <alignment vertical="top" wrapText="1"/>
    </xf>
    <xf numFmtId="0" fontId="8" fillId="5" borderId="4" xfId="0" applyFont="1" applyFill="1" applyBorder="1" applyAlignment="1">
      <alignment horizontal="center" vertical="center" wrapText="1"/>
    </xf>
    <xf numFmtId="0" fontId="8" fillId="5" borderId="6" xfId="0"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5" xfId="0" applyFont="1" applyFill="1" applyBorder="1" applyAlignment="1">
      <alignment horizontal="center" vertical="center" wrapText="1"/>
    </xf>
    <xf numFmtId="0" fontId="8" fillId="12" borderId="4" xfId="0" applyFont="1" applyFill="1" applyBorder="1" applyAlignment="1">
      <alignment horizontal="center" vertical="center" wrapText="1"/>
    </xf>
    <xf numFmtId="0" fontId="8" fillId="12" borderId="6" xfId="0" applyFont="1" applyFill="1" applyBorder="1" applyAlignment="1">
      <alignment horizontal="center" vertical="center" wrapText="1"/>
    </xf>
    <xf numFmtId="0" fontId="8" fillId="12" borderId="5" xfId="0" applyFont="1" applyFill="1" applyBorder="1" applyAlignment="1">
      <alignment horizontal="center" vertical="center" wrapText="1"/>
    </xf>
    <xf numFmtId="0" fontId="0" fillId="7" borderId="1" xfId="0" applyFill="1" applyBorder="1" applyAlignment="1">
      <alignment horizontal="center" vertical="center" wrapText="1"/>
    </xf>
    <xf numFmtId="0" fontId="8" fillId="8" borderId="1" xfId="0" applyFont="1" applyFill="1" applyBorder="1" applyAlignment="1">
      <alignment horizontal="center" vertical="center" wrapText="1"/>
    </xf>
    <xf numFmtId="0" fontId="8"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8" fillId="11" borderId="1" xfId="0" applyFont="1" applyFill="1" applyBorder="1" applyAlignment="1">
      <alignment horizontal="center" vertical="top" wrapText="1"/>
    </xf>
    <xf numFmtId="0" fontId="4" fillId="2" borderId="2" xfId="0" applyFont="1" applyFill="1" applyBorder="1"/>
    <xf numFmtId="0" fontId="11" fillId="4" borderId="0" xfId="0" applyFont="1" applyFill="1" applyAlignment="1">
      <alignment horizontal="center"/>
    </xf>
    <xf numFmtId="0" fontId="11" fillId="15" borderId="0" xfId="0" applyFont="1" applyFill="1" applyAlignment="1">
      <alignment horizontal="center"/>
    </xf>
  </cellXfs>
  <cellStyles count="1">
    <cellStyle name="Normal" xfId="0" builtinId="0"/>
  </cellStyles>
  <dxfs count="57">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ill>
        <patternFill>
          <bgColor theme="0" tint="-0.499984740745262"/>
        </patternFill>
      </fill>
    </dxf>
    <dxf>
      <font>
        <color theme="1" tint="0.499984740745262"/>
      </font>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0" tint="-0.499984740745262"/>
      </font>
      <fill>
        <patternFill>
          <bgColor theme="0" tint="-0.499984740745262"/>
        </patternFill>
      </fill>
    </dxf>
  </dxfs>
  <tableStyles count="0" defaultTableStyle="TableStyleMedium2" defaultPivotStyle="PivotStyleLight16"/>
  <colors>
    <mruColors>
      <color rgb="FFFF6E1D"/>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P5"/>
  <sheetViews>
    <sheetView tabSelected="1" topLeftCell="B1" zoomScaleNormal="100" workbookViewId="0">
      <selection activeCell="E11" sqref="E11"/>
    </sheetView>
  </sheetViews>
  <sheetFormatPr baseColWidth="10" defaultRowHeight="14.4" outlineLevelCol="1" x14ac:dyDescent="0.3"/>
  <cols>
    <col min="1" max="1" width="7.33203125" customWidth="1"/>
    <col min="2" max="2" width="18.21875" customWidth="1"/>
    <col min="3" max="3" width="17.33203125" customWidth="1"/>
    <col min="4" max="4" width="18.5546875" customWidth="1"/>
    <col min="5" max="5" width="10.33203125" customWidth="1"/>
    <col min="6" max="6" width="23.77734375" customWidth="1"/>
    <col min="7" max="7" width="18.33203125" customWidth="1"/>
    <col min="8" max="8" width="13.33203125" customWidth="1"/>
    <col min="9" max="9" width="8.6640625" customWidth="1"/>
    <col min="10" max="10" width="10.109375" customWidth="1"/>
    <col min="11" max="11" width="14.109375" customWidth="1"/>
    <col min="12" max="12" width="20.33203125" hidden="1" customWidth="1" outlineLevel="1"/>
    <col min="13" max="13" width="11" hidden="1" customWidth="1" outlineLevel="1"/>
    <col min="14" max="14" width="12.5546875" hidden="1" customWidth="1" outlineLevel="1"/>
    <col min="15" max="15" width="4.109375" style="7" customWidth="1" collapsed="1"/>
    <col min="16" max="18" width="10.77734375" style="7" hidden="1" customWidth="1" outlineLevel="1"/>
    <col min="19" max="19" width="4.109375" style="7" customWidth="1" collapsed="1"/>
    <col min="20" max="21" width="10.77734375" style="7" hidden="1" customWidth="1" outlineLevel="1"/>
    <col min="22" max="22" width="4.109375" style="7" customWidth="1" collapsed="1"/>
    <col min="23" max="25" width="10.77734375" style="7" hidden="1" customWidth="1" outlineLevel="1"/>
    <col min="26" max="26" width="4.109375" style="7" customWidth="1" collapsed="1"/>
    <col min="27" max="29" width="10.77734375" style="7" hidden="1" customWidth="1" outlineLevel="1"/>
    <col min="30" max="30" width="4.109375" style="7" customWidth="1" collapsed="1"/>
    <col min="31" max="33" width="10.77734375" style="7" hidden="1" customWidth="1" outlineLevel="1"/>
    <col min="34" max="34" width="4.109375" style="7" customWidth="1" collapsed="1"/>
    <col min="35" max="38" width="10.77734375" style="7" hidden="1" customWidth="1" outlineLevel="1"/>
    <col min="39" max="39" width="4.109375" style="7" customWidth="1" collapsed="1"/>
    <col min="40" max="41" width="10.77734375" style="7" hidden="1" customWidth="1" outlineLevel="1"/>
    <col min="42" max="42" width="4.109375" style="7" customWidth="1" collapsed="1"/>
    <col min="43" max="43" width="10.33203125" style="7" hidden="1" customWidth="1" outlineLevel="1"/>
    <col min="44" max="44" width="22.33203125" style="7" hidden="1" customWidth="1" outlineLevel="1"/>
    <col min="45" max="45" width="10.77734375" style="7" hidden="1" customWidth="1" outlineLevel="1"/>
    <col min="46" max="46" width="18.33203125" style="7" hidden="1" customWidth="1" outlineLevel="1"/>
    <col min="47" max="47" width="18" style="7" hidden="1" customWidth="1" outlineLevel="1"/>
    <col min="48" max="48" width="18.5546875" style="7" hidden="1" customWidth="1" outlineLevel="1"/>
    <col min="49" max="49" width="19.33203125" style="7" hidden="1" customWidth="1" outlineLevel="1"/>
    <col min="50" max="56" width="10.77734375" style="7" hidden="1" customWidth="1" outlineLevel="1"/>
    <col min="57" max="57" width="10.33203125" style="7" hidden="1" customWidth="1" outlineLevel="1"/>
    <col min="58" max="58" width="4.109375" style="7" customWidth="1" collapsed="1"/>
    <col min="59" max="59" width="10.88671875" hidden="1" customWidth="1" outlineLevel="1"/>
    <col min="60" max="60" width="4.21875" customWidth="1" collapsed="1"/>
    <col min="61" max="63" width="10.88671875" hidden="1" customWidth="1" outlineLevel="1"/>
    <col min="64" max="64" width="4.6640625" customWidth="1" collapsed="1"/>
    <col min="65" max="65" width="22.109375" hidden="1" customWidth="1" outlineLevel="1"/>
    <col min="66" max="66" width="4.6640625" customWidth="1" collapsed="1"/>
    <col min="67" max="67" width="37.77734375" hidden="1" customWidth="1" outlineLevel="1"/>
    <col min="68" max="68" width="3.88671875" customWidth="1" collapsed="1"/>
  </cols>
  <sheetData>
    <row r="1" spans="1:68" s="4" customFormat="1" ht="72.599999999999994" customHeight="1" x14ac:dyDescent="0.3">
      <c r="A1" s="58" t="s">
        <v>142</v>
      </c>
      <c r="B1" s="58"/>
      <c r="C1" s="58"/>
      <c r="D1" s="58"/>
      <c r="E1" s="58"/>
      <c r="F1" s="58"/>
      <c r="G1" s="59"/>
      <c r="H1" s="60" t="s">
        <v>88</v>
      </c>
      <c r="I1" s="61"/>
      <c r="J1" s="61"/>
      <c r="K1" s="62"/>
      <c r="L1" s="56" t="s">
        <v>82</v>
      </c>
      <c r="M1" s="57"/>
      <c r="N1" s="13" t="s">
        <v>10</v>
      </c>
      <c r="O1" s="39" t="s">
        <v>14</v>
      </c>
      <c r="P1" s="63" t="s">
        <v>103</v>
      </c>
      <c r="Q1" s="64"/>
      <c r="R1" s="64"/>
      <c r="S1" s="41" t="s">
        <v>103</v>
      </c>
      <c r="T1" s="65" t="s">
        <v>104</v>
      </c>
      <c r="U1" s="66"/>
      <c r="V1" s="46" t="s">
        <v>104</v>
      </c>
      <c r="W1" s="70" t="s">
        <v>107</v>
      </c>
      <c r="X1" s="70"/>
      <c r="Y1" s="70"/>
      <c r="Z1" s="48" t="s">
        <v>107</v>
      </c>
      <c r="AA1" s="71" t="s">
        <v>33</v>
      </c>
      <c r="AB1" s="71"/>
      <c r="AC1" s="71"/>
      <c r="AD1" s="50" t="s">
        <v>95</v>
      </c>
      <c r="AE1" s="72" t="s">
        <v>34</v>
      </c>
      <c r="AF1" s="72"/>
      <c r="AG1" s="72"/>
      <c r="AH1" s="52" t="s">
        <v>94</v>
      </c>
      <c r="AI1" s="73" t="s">
        <v>7</v>
      </c>
      <c r="AJ1" s="73"/>
      <c r="AK1" s="73"/>
      <c r="AL1" s="73"/>
      <c r="AM1" s="54" t="s">
        <v>7</v>
      </c>
      <c r="AN1" s="74" t="s">
        <v>35</v>
      </c>
      <c r="AO1" s="74"/>
      <c r="AP1" s="36" t="s">
        <v>35</v>
      </c>
      <c r="AQ1" s="67" t="s">
        <v>9</v>
      </c>
      <c r="AR1" s="68"/>
      <c r="AS1" s="68"/>
      <c r="AT1" s="68"/>
      <c r="AU1" s="68"/>
      <c r="AV1" s="68"/>
      <c r="AW1" s="68"/>
      <c r="AX1" s="68"/>
      <c r="AY1" s="68"/>
      <c r="AZ1" s="68"/>
      <c r="BA1" s="68"/>
      <c r="BB1" s="68"/>
      <c r="BC1" s="68"/>
      <c r="BD1" s="68"/>
      <c r="BE1" s="69"/>
      <c r="BF1" s="44" t="s">
        <v>9</v>
      </c>
      <c r="BG1" s="9"/>
      <c r="BH1" s="10" t="s">
        <v>99</v>
      </c>
      <c r="BI1" s="8"/>
      <c r="BJ1" s="8"/>
      <c r="BK1" s="8"/>
      <c r="BL1" s="43" t="s">
        <v>3</v>
      </c>
      <c r="BM1" s="12"/>
      <c r="BN1" s="38" t="s">
        <v>127</v>
      </c>
      <c r="BO1" s="34"/>
      <c r="BP1" s="35" t="s">
        <v>145</v>
      </c>
    </row>
    <row r="2" spans="1:68" s="4" customFormat="1" ht="28.8" x14ac:dyDescent="0.3">
      <c r="A2" s="1" t="s">
        <v>91</v>
      </c>
      <c r="B2" s="1" t="s">
        <v>76</v>
      </c>
      <c r="C2" s="1" t="s">
        <v>89</v>
      </c>
      <c r="D2" s="1" t="s">
        <v>87</v>
      </c>
      <c r="E2" s="1" t="s">
        <v>102</v>
      </c>
      <c r="F2" s="1" t="s">
        <v>0</v>
      </c>
      <c r="G2" s="1" t="s">
        <v>40</v>
      </c>
      <c r="H2" s="2" t="s">
        <v>41</v>
      </c>
      <c r="I2" s="2" t="s">
        <v>42</v>
      </c>
      <c r="J2" s="2" t="s">
        <v>43</v>
      </c>
      <c r="K2" s="33" t="s">
        <v>144</v>
      </c>
      <c r="L2" s="3" t="s">
        <v>130</v>
      </c>
      <c r="M2" s="3" t="s">
        <v>90</v>
      </c>
      <c r="N2" s="3" t="s">
        <v>85</v>
      </c>
      <c r="O2" s="40"/>
      <c r="P2" s="3" t="s">
        <v>131</v>
      </c>
      <c r="Q2" s="3" t="s">
        <v>108</v>
      </c>
      <c r="R2" s="5" t="s">
        <v>75</v>
      </c>
      <c r="S2" s="42"/>
      <c r="T2" s="6" t="s">
        <v>27</v>
      </c>
      <c r="U2" s="3" t="s">
        <v>75</v>
      </c>
      <c r="V2" s="47"/>
      <c r="W2" s="3" t="s">
        <v>90</v>
      </c>
      <c r="X2" s="3" t="s">
        <v>132</v>
      </c>
      <c r="Y2" s="3" t="s">
        <v>133</v>
      </c>
      <c r="Z2" s="49"/>
      <c r="AA2" s="3" t="s">
        <v>134</v>
      </c>
      <c r="AB2" s="3" t="s">
        <v>132</v>
      </c>
      <c r="AC2" s="3" t="s">
        <v>133</v>
      </c>
      <c r="AD2" s="51"/>
      <c r="AE2" s="3" t="s">
        <v>134</v>
      </c>
      <c r="AF2" s="3" t="s">
        <v>132</v>
      </c>
      <c r="AG2" s="3" t="s">
        <v>133</v>
      </c>
      <c r="AH2" s="53"/>
      <c r="AI2" s="3" t="s">
        <v>134</v>
      </c>
      <c r="AJ2" s="3" t="s">
        <v>135</v>
      </c>
      <c r="AK2" s="3" t="s">
        <v>132</v>
      </c>
      <c r="AL2" s="3" t="s">
        <v>133</v>
      </c>
      <c r="AM2" s="55"/>
      <c r="AN2" s="3" t="s">
        <v>136</v>
      </c>
      <c r="AO2" s="3" t="s">
        <v>137</v>
      </c>
      <c r="AP2" s="37"/>
      <c r="AQ2" s="3" t="s">
        <v>138</v>
      </c>
      <c r="AR2" s="3" t="s">
        <v>41</v>
      </c>
      <c r="AS2" s="3" t="s">
        <v>48</v>
      </c>
      <c r="AT2" s="3" t="s">
        <v>139</v>
      </c>
      <c r="AU2" s="3" t="s">
        <v>52</v>
      </c>
      <c r="AV2" s="3" t="s">
        <v>50</v>
      </c>
      <c r="AW2" s="3" t="s">
        <v>51</v>
      </c>
      <c r="AX2" s="3" t="s">
        <v>140</v>
      </c>
      <c r="AY2" s="3" t="s">
        <v>54</v>
      </c>
      <c r="AZ2" s="3" t="s">
        <v>53</v>
      </c>
      <c r="BA2" s="3" t="s">
        <v>77</v>
      </c>
      <c r="BB2" s="3" t="s">
        <v>78</v>
      </c>
      <c r="BC2" s="3" t="s">
        <v>83</v>
      </c>
      <c r="BD2" s="3" t="s">
        <v>84</v>
      </c>
      <c r="BE2" s="3" t="s">
        <v>126</v>
      </c>
      <c r="BF2" s="45"/>
      <c r="BG2" s="2" t="s">
        <v>141</v>
      </c>
      <c r="BH2" s="10"/>
      <c r="BI2" s="2" t="s">
        <v>141</v>
      </c>
      <c r="BJ2" s="2" t="s">
        <v>100</v>
      </c>
      <c r="BK2" s="1" t="s">
        <v>101</v>
      </c>
      <c r="BL2" s="43"/>
      <c r="BM2" s="2" t="s">
        <v>127</v>
      </c>
      <c r="BN2" s="38"/>
      <c r="BO2" s="2" t="s">
        <v>145</v>
      </c>
      <c r="BP2" s="35"/>
    </row>
    <row r="3" spans="1:68" ht="28.8" x14ac:dyDescent="0.3">
      <c r="A3" s="14" t="s">
        <v>92</v>
      </c>
      <c r="B3" s="14"/>
      <c r="C3" s="14"/>
      <c r="D3" s="14"/>
      <c r="E3" s="14"/>
      <c r="F3" s="14"/>
      <c r="G3" s="14" t="s">
        <v>26</v>
      </c>
      <c r="H3" s="28" t="s">
        <v>23</v>
      </c>
      <c r="I3" s="28" t="s">
        <v>24</v>
      </c>
      <c r="J3" s="28" t="s">
        <v>24</v>
      </c>
      <c r="K3" s="29" t="s">
        <v>19</v>
      </c>
      <c r="L3" s="14">
        <f>IF(D3=VD!A11,2000,100)</f>
        <v>100</v>
      </c>
      <c r="M3" s="28" t="s">
        <v>14</v>
      </c>
      <c r="N3" s="14"/>
      <c r="O3" s="15"/>
      <c r="P3" s="16"/>
      <c r="Q3" s="16"/>
      <c r="R3" s="16"/>
      <c r="S3" s="17"/>
      <c r="T3" s="16" t="s">
        <v>129</v>
      </c>
      <c r="U3" s="14" t="s">
        <v>81</v>
      </c>
      <c r="V3" s="18"/>
      <c r="W3" s="28" t="s">
        <v>29</v>
      </c>
      <c r="X3" s="14">
        <v>-2147483648</v>
      </c>
      <c r="Y3" s="14">
        <v>2147483647</v>
      </c>
      <c r="Z3" s="19"/>
      <c r="AA3" s="14">
        <v>2</v>
      </c>
      <c r="AB3" s="14">
        <v>0</v>
      </c>
      <c r="AC3" s="14">
        <v>1000000000</v>
      </c>
      <c r="AD3" s="20"/>
      <c r="AE3" s="14">
        <v>2</v>
      </c>
      <c r="AF3" s="14">
        <v>-100000000000</v>
      </c>
      <c r="AG3" s="14">
        <v>100000000000</v>
      </c>
      <c r="AH3" s="21"/>
      <c r="AI3" s="14">
        <v>2</v>
      </c>
      <c r="AJ3" s="31" t="s">
        <v>110</v>
      </c>
      <c r="AK3" s="14">
        <v>-922337203685477</v>
      </c>
      <c r="AL3" s="14">
        <v>922337203685477</v>
      </c>
      <c r="AM3" s="22"/>
      <c r="AN3" s="28" t="s">
        <v>39</v>
      </c>
      <c r="AO3" s="28" t="s">
        <v>37</v>
      </c>
      <c r="AP3" s="23"/>
      <c r="AQ3" s="14"/>
      <c r="AR3" s="28" t="s">
        <v>23</v>
      </c>
      <c r="AS3" s="28" t="s">
        <v>24</v>
      </c>
      <c r="AT3" s="28" t="s">
        <v>56</v>
      </c>
      <c r="AU3" s="14"/>
      <c r="AV3" s="28" t="s">
        <v>59</v>
      </c>
      <c r="AW3" s="14">
        <v>10000</v>
      </c>
      <c r="AX3" s="28" t="s">
        <v>67</v>
      </c>
      <c r="AY3" s="28" t="s">
        <v>68</v>
      </c>
      <c r="AZ3" s="28" t="s">
        <v>68</v>
      </c>
      <c r="BA3" s="28" t="s">
        <v>68</v>
      </c>
      <c r="BB3" s="28" t="s">
        <v>68</v>
      </c>
      <c r="BC3" s="28" t="s">
        <v>74</v>
      </c>
      <c r="BD3" s="28" t="s">
        <v>68</v>
      </c>
      <c r="BE3" s="14"/>
      <c r="BF3" s="24"/>
      <c r="BG3" s="14">
        <v>32768</v>
      </c>
      <c r="BH3" s="25"/>
      <c r="BI3" s="14">
        <v>10240</v>
      </c>
      <c r="BJ3" s="28" t="s">
        <v>23</v>
      </c>
      <c r="BK3" s="28" t="s">
        <v>24</v>
      </c>
      <c r="BL3" s="26"/>
      <c r="BM3" s="14"/>
      <c r="BN3" s="27"/>
      <c r="BO3" s="16"/>
      <c r="BP3" s="35"/>
    </row>
    <row r="4" spans="1:68" ht="28.8" x14ac:dyDescent="0.3">
      <c r="A4" s="14" t="s">
        <v>92</v>
      </c>
      <c r="B4" s="14"/>
      <c r="C4" s="14" t="str" cm="1">
        <f t="array" ref="C4">IF(ISBLANK(B4),"",StripAccent(_xlfn.CONCAT("{prefix}_",SUBSTITUTE(SUBSTITUTE(SUBSTITUTE(SUBSTITUTE(SUBSTITUTE(SUBSTITUTE(SUBSTITUTE(B4,"/","")," ",""),")",""),"(",""),"#",""),"?",""),"'",""))))</f>
        <v/>
      </c>
      <c r="D4" s="14"/>
      <c r="E4" s="14"/>
      <c r="F4" s="14"/>
      <c r="G4" s="14" t="s">
        <v>26</v>
      </c>
      <c r="H4" s="28" t="s">
        <v>23</v>
      </c>
      <c r="I4" s="28" t="s">
        <v>24</v>
      </c>
      <c r="J4" s="28" t="s">
        <v>24</v>
      </c>
      <c r="K4" s="30" t="s">
        <v>19</v>
      </c>
      <c r="L4" s="14">
        <f>IF(D4=VD!A12,2000,100)</f>
        <v>100</v>
      </c>
      <c r="M4" s="28" t="s">
        <v>14</v>
      </c>
      <c r="N4" s="14"/>
      <c r="O4" s="15"/>
      <c r="P4" s="14"/>
      <c r="Q4" s="16"/>
      <c r="R4" s="16"/>
      <c r="S4" s="17"/>
      <c r="T4" s="16" t="s">
        <v>129</v>
      </c>
      <c r="U4" s="14" t="s">
        <v>81</v>
      </c>
      <c r="V4" s="18"/>
      <c r="W4" s="28" t="s">
        <v>29</v>
      </c>
      <c r="X4" s="14">
        <v>-2147483648</v>
      </c>
      <c r="Y4" s="14">
        <v>2147483647</v>
      </c>
      <c r="Z4" s="19"/>
      <c r="AA4" s="14">
        <v>2</v>
      </c>
      <c r="AB4" s="14">
        <v>0</v>
      </c>
      <c r="AC4" s="14">
        <v>1000000000</v>
      </c>
      <c r="AD4" s="20"/>
      <c r="AE4" s="14">
        <v>2</v>
      </c>
      <c r="AF4" s="14">
        <v>-100000000000</v>
      </c>
      <c r="AG4" s="14">
        <v>100000000000</v>
      </c>
      <c r="AH4" s="21"/>
      <c r="AI4" s="14">
        <v>2</v>
      </c>
      <c r="AJ4" s="28" t="s">
        <v>110</v>
      </c>
      <c r="AK4" s="14">
        <v>-922337203685477</v>
      </c>
      <c r="AL4" s="14">
        <v>922337203685477</v>
      </c>
      <c r="AM4" s="22"/>
      <c r="AN4" s="28" t="s">
        <v>39</v>
      </c>
      <c r="AO4" s="28" t="s">
        <v>37</v>
      </c>
      <c r="AP4" s="23"/>
      <c r="AQ4" s="14"/>
      <c r="AR4" s="28" t="s">
        <v>23</v>
      </c>
      <c r="AS4" s="28" t="s">
        <v>24</v>
      </c>
      <c r="AT4" s="28" t="s">
        <v>57</v>
      </c>
      <c r="AU4" s="14"/>
      <c r="AV4" s="28" t="s">
        <v>59</v>
      </c>
      <c r="AW4" s="14">
        <v>10000</v>
      </c>
      <c r="AX4" s="28" t="s">
        <v>67</v>
      </c>
      <c r="AY4" s="28" t="s">
        <v>68</v>
      </c>
      <c r="AZ4" s="28" t="s">
        <v>68</v>
      </c>
      <c r="BA4" s="28" t="s">
        <v>68</v>
      </c>
      <c r="BB4" s="28" t="s">
        <v>68</v>
      </c>
      <c r="BC4" s="28" t="s">
        <v>74</v>
      </c>
      <c r="BD4" s="28" t="s">
        <v>68</v>
      </c>
      <c r="BE4" s="14"/>
      <c r="BF4" s="24"/>
      <c r="BG4" s="14">
        <v>32768</v>
      </c>
      <c r="BH4" s="25"/>
      <c r="BI4" s="14">
        <v>10240</v>
      </c>
      <c r="BJ4" s="28" t="s">
        <v>23</v>
      </c>
      <c r="BK4" s="28" t="s">
        <v>24</v>
      </c>
      <c r="BL4" s="26"/>
      <c r="BM4" s="14"/>
      <c r="BN4" s="27"/>
      <c r="BO4" s="16"/>
      <c r="BP4" s="35"/>
    </row>
    <row r="5" spans="1:68" ht="28.8" x14ac:dyDescent="0.3">
      <c r="A5" s="14" t="s">
        <v>92</v>
      </c>
      <c r="B5" s="14"/>
      <c r="C5" s="14" t="str" cm="1">
        <f t="array" ref="C5">IF(ISBLANK(B5),"",StripAccent(_xlfn.CONCAT("{prefix}_",SUBSTITUTE(SUBSTITUTE(SUBSTITUTE(SUBSTITUTE(SUBSTITUTE(SUBSTITUTE(SUBSTITUTE(B5,"/","")," ",""),")",""),"(",""),"#",""),"?",""),"'",""))))</f>
        <v/>
      </c>
      <c r="D5" s="14"/>
      <c r="E5" s="14"/>
      <c r="F5" s="14"/>
      <c r="G5" s="14" t="s">
        <v>26</v>
      </c>
      <c r="H5" s="28" t="s">
        <v>23</v>
      </c>
      <c r="I5" s="28" t="s">
        <v>24</v>
      </c>
      <c r="J5" s="28" t="s">
        <v>24</v>
      </c>
      <c r="K5" s="30" t="s">
        <v>19</v>
      </c>
      <c r="L5" s="14">
        <f>IF(D5=VD!A13,2000,100)</f>
        <v>100</v>
      </c>
      <c r="M5" s="28" t="s">
        <v>14</v>
      </c>
      <c r="N5" s="14"/>
      <c r="O5" s="15"/>
      <c r="P5" s="14"/>
      <c r="Q5" s="16"/>
      <c r="R5" s="16"/>
      <c r="S5" s="17"/>
      <c r="T5" s="16" t="s">
        <v>129</v>
      </c>
      <c r="U5" s="14" t="s">
        <v>81</v>
      </c>
      <c r="V5" s="18"/>
      <c r="W5" s="28" t="s">
        <v>29</v>
      </c>
      <c r="X5" s="14">
        <v>-2147483648</v>
      </c>
      <c r="Y5" s="14">
        <v>2147483647</v>
      </c>
      <c r="Z5" s="19"/>
      <c r="AA5" s="14">
        <v>2</v>
      </c>
      <c r="AB5" s="14">
        <v>0</v>
      </c>
      <c r="AC5" s="14">
        <v>1000000000</v>
      </c>
      <c r="AD5" s="20"/>
      <c r="AE5" s="14">
        <v>2</v>
      </c>
      <c r="AF5" s="14">
        <v>-100000000000</v>
      </c>
      <c r="AG5" s="14">
        <v>100000000000</v>
      </c>
      <c r="AH5" s="21"/>
      <c r="AI5" s="14">
        <v>2</v>
      </c>
      <c r="AJ5" s="32" t="s">
        <v>110</v>
      </c>
      <c r="AK5" s="14">
        <v>-922337203685477</v>
      </c>
      <c r="AL5" s="14">
        <v>922337203685477</v>
      </c>
      <c r="AM5" s="22"/>
      <c r="AN5" s="28" t="s">
        <v>39</v>
      </c>
      <c r="AO5" s="28" t="s">
        <v>37</v>
      </c>
      <c r="AP5" s="23"/>
      <c r="AQ5" s="14"/>
      <c r="AR5" s="28" t="s">
        <v>23</v>
      </c>
      <c r="AS5" s="28" t="s">
        <v>24</v>
      </c>
      <c r="AT5" s="28" t="s">
        <v>57</v>
      </c>
      <c r="AU5" s="14"/>
      <c r="AV5" s="28" t="s">
        <v>59</v>
      </c>
      <c r="AW5" s="14">
        <v>10000</v>
      </c>
      <c r="AX5" s="28" t="s">
        <v>67</v>
      </c>
      <c r="AY5" s="28" t="s">
        <v>68</v>
      </c>
      <c r="AZ5" s="28" t="s">
        <v>68</v>
      </c>
      <c r="BA5" s="28" t="s">
        <v>68</v>
      </c>
      <c r="BB5" s="28" t="s">
        <v>68</v>
      </c>
      <c r="BC5" s="28" t="s">
        <v>74</v>
      </c>
      <c r="BD5" s="28" t="s">
        <v>68</v>
      </c>
      <c r="BE5" s="14"/>
      <c r="BF5" s="24"/>
      <c r="BG5" s="14">
        <v>32768</v>
      </c>
      <c r="BH5" s="25"/>
      <c r="BI5" s="14">
        <v>10240</v>
      </c>
      <c r="BJ5" s="28" t="s">
        <v>23</v>
      </c>
      <c r="BK5" s="28" t="s">
        <v>24</v>
      </c>
      <c r="BL5" s="26"/>
      <c r="BM5" s="14"/>
      <c r="BN5" s="27"/>
      <c r="BO5" s="16"/>
      <c r="BP5" s="35"/>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11">
    <mergeCell ref="W1:Y1"/>
    <mergeCell ref="AA1:AC1"/>
    <mergeCell ref="AE1:AG1"/>
    <mergeCell ref="AI1:AL1"/>
    <mergeCell ref="AN1:AO1"/>
    <mergeCell ref="L1:M1"/>
    <mergeCell ref="A1:G1"/>
    <mergeCell ref="H1:K1"/>
    <mergeCell ref="P1:R1"/>
    <mergeCell ref="T1:U1"/>
    <mergeCell ref="AQ1:BE1"/>
  </mergeCells>
  <phoneticPr fontId="9" type="noConversion"/>
  <conditionalFormatting sqref="BM3:BM5">
    <cfRule type="expression" dxfId="56" priority="4">
      <formula>K3&lt;&gt;"Formula"</formula>
    </cfRule>
  </conditionalFormatting>
  <dataValidations count="5">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W3:AW5" xr:uid="{00000000-0002-0000-0000-000003000000}">
      <formula1>9999</formula1>
    </dataValidation>
    <dataValidation allowBlank="1" showErrorMessage="1" prompt="Uniquement pour les champs textes" sqref="AQ3:AQ5 BE3:BE5" xr:uid="{00000000-0002-0000-0000-000000000000}"/>
    <dataValidation type="textLength" operator="lessThanOrEqual" allowBlank="1" showInputMessage="1" showErrorMessage="1" sqref="C3:C5" xr:uid="{8513E4F5-5B58-4155-B02B-EE640EDD928C}">
      <formula1>50</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7" id="{FE734949-1F92-421A-A182-12FE2ACE837B}">
            <xm:f>AND(D3&lt;&gt;VD!$A$13,D3&lt;&gt;VD!$A$14)</xm:f>
            <x14:dxf>
              <font>
                <color theme="1" tint="0.499984740745262"/>
              </font>
              <fill>
                <patternFill>
                  <bgColor theme="0" tint="-0.499984740745262"/>
                </patternFill>
              </fill>
            </x14:dxf>
          </x14:cfRule>
          <xm:sqref>M3:M5</xm:sqref>
        </x14:conditionalFormatting>
        <x14:conditionalFormatting xmlns:xm="http://schemas.microsoft.com/office/excel/2006/main">
          <x14:cfRule type="expression" priority="95" id="{BB2CC0D0-D271-49F7-AB65-633FF2FA03C7}">
            <xm:f>AND(D3&lt;&gt;VD!$A$10,D3&lt;&gt;VD!$A$11,D3&lt;&gt;VD!$A$17)</xm:f>
            <x14:dxf>
              <font>
                <color theme="1" tint="0.499984740745262"/>
              </font>
              <fill>
                <patternFill>
                  <bgColor theme="0" tint="-0.499984740745262"/>
                </patternFill>
              </fill>
            </x14:dxf>
          </x14:cfRule>
          <xm:sqref>AQ3:AQ5</xm:sqref>
        </x14:conditionalFormatting>
        <x14:conditionalFormatting xmlns:xm="http://schemas.microsoft.com/office/excel/2006/main">
          <x14:cfRule type="expression" priority="94" id="{55442AD4-933E-4B2F-A9B2-417BD7BB61D2}">
            <xm:f>AND(D3&lt;&gt;VD!$A$2,D3&lt;&gt;VD!$A$3,D3&lt;&gt;VD!$A$18,D3&lt;&gt;VD!$A$19)</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93" id="{19826397-1030-4E5F-BAF9-6BCBA5D7104F}">
            <xm:f>D3&lt;&gt;VD!$A$15</xm:f>
            <x14:dxf>
              <font>
                <color theme="1" tint="0.499984740745262"/>
              </font>
              <fill>
                <patternFill>
                  <bgColor theme="0" tint="-0.499984740745262"/>
                </patternFill>
              </fill>
            </x14:dxf>
          </x14:cfRule>
          <xm:sqref>T3:T5</xm:sqref>
        </x14:conditionalFormatting>
        <x14:conditionalFormatting xmlns:xm="http://schemas.microsoft.com/office/excel/2006/main">
          <x14:cfRule type="expression" priority="92" id="{47BCE029-FA95-4FAB-A696-F4FA85A37D78}">
            <xm:f>D3&lt;&gt;VD!$A$16</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91" id="{D324E903-258F-4963-BAF9-F665C6A55E48}">
            <xm:f>D3&lt;&gt;VD!$A$8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90" id="{BFA9A100-8D30-41AB-9ACA-090CF1E30AA2}">
            <xm:f>D3&lt;&gt;VD!$A$6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9" id="{830F53A2-F86D-46C0-8597-F1871941853A}">
            <xm:f>D3&lt;&gt;VD!$A$12</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8" id="{F0C25CE8-6057-4FC6-BF0F-45356AF7D2BA}">
            <xm:f>D3&lt;&gt;VD!$A$5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87" id="{778FBFD1-68E9-4E5B-B345-16E6F392DA57}">
            <xm:f>D3&lt;&gt;VD!$A$16</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6" id="{77F0BE92-F8E1-469F-A556-B3FC68A62258}">
            <xm:f>D3&lt;&gt;VD!$A$16</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85" id="{7DC90EA4-A849-42F5-8073-D1F7C4C5A8B4}">
            <xm:f>D3&lt;&gt;VD!$A$8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84" id="{DC00DF58-339E-4670-BAC9-7F2BD64CBC0A}">
            <xm:f>D3&lt;&gt;VD!$A$8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83" id="{9221C9D8-CF72-4610-9AEA-38421472496E}">
            <xm:f>D3&lt;&gt;VD!$A$6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82" id="{449C0A89-4AEE-4B1A-AFC8-F298D9C2F066}">
            <xm:f>D3&lt;&gt;VD!$A$6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81" id="{5547D2CD-6E06-4DDD-9617-4E33EBA58280}">
            <xm:f>D3&lt;&gt;VD!$A$12</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80" id="{65BCFEC1-2682-4CAF-8145-B153323F9BA6}">
            <xm:f>D3&lt;&gt;VD!$A$12</xm:f>
            <x14:dxf>
              <font>
                <color theme="1" tint="0.499984740745262"/>
              </font>
              <fill>
                <patternFill>
                  <bgColor theme="0" tint="-0.499984740745262"/>
                </patternFill>
              </fill>
            </x14:dxf>
          </x14:cfRule>
          <xm:sqref>AL3:AL5</xm:sqref>
        </x14:conditionalFormatting>
        <x14:conditionalFormatting xmlns:xm="http://schemas.microsoft.com/office/excel/2006/main">
          <x14:cfRule type="expression" priority="79" id="{02873408-ED18-4989-9DAC-DF09898C3E66}">
            <xm:f>D3&lt;&gt;VD!$A$5</xm:f>
            <x14:dxf>
              <font>
                <color theme="1" tint="0.499984740745262"/>
              </font>
              <fill>
                <patternFill>
                  <bgColor theme="0" tint="-0.499984740745262"/>
                </patternFill>
              </fill>
            </x14:dxf>
          </x14:cfRule>
          <xm:sqref>AO3:AO5</xm:sqref>
        </x14:conditionalFormatting>
        <x14:conditionalFormatting xmlns:xm="http://schemas.microsoft.com/office/excel/2006/main">
          <x14:cfRule type="expression" priority="78" id="{9DD9F0D2-3E72-4AA4-AD58-11F5CF9FD611}">
            <xm:f>AND(D3&lt;&gt;VD!$A$4,D3&lt;&gt;VD!$A$10,D3&lt;&gt;VD!$A$11,D3&lt;&gt;VD!$A$17)</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76" id="{6B1D966E-4C40-466C-957F-E74446AD5D7F}">
            <xm:f>AND(D3&lt;&gt;VD!$A$4,D3&lt;&gt;VD!$A$10,D3&lt;&gt;VD!$A$11,D3&lt;&gt;VD!$A$17)</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74" id="{D8619189-B4E3-4F28-B86A-10C2900DA490}">
            <xm:f>AND(D3&lt;&gt;VD!$A$4,D3&lt;&gt;VD!$A$10,D3&lt;&gt;VD!$A$11,D3&lt;&gt;VD!$A$17)</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73" id="{1DD3EC83-E2A7-404C-886A-558DA14DD452}">
            <xm:f>AND(D3&lt;&gt;VD!$A$4,D3&lt;&gt;VD!$A$10,D3&lt;&gt;VD!$A$11,D3&lt;&gt;VD!$A$17)</xm:f>
            <x14:dxf>
              <font>
                <color theme="1" tint="0.499984740745262"/>
              </font>
              <fill>
                <patternFill>
                  <bgColor theme="0" tint="-0.499984740745262"/>
                </patternFill>
              </fill>
            </x14:dxf>
          </x14:cfRule>
          <xm:sqref>AW3 AW5</xm:sqref>
        </x14:conditionalFormatting>
        <x14:conditionalFormatting xmlns:xm="http://schemas.microsoft.com/office/excel/2006/main">
          <x14:cfRule type="expression" priority="72" id="{540F93B5-8219-4AB2-80AE-FB6B63C276EB}">
            <xm:f>AND(D3&lt;&gt;VD!$A$4,D3&lt;&gt;VD!$A$10,D3&lt;&gt;VD!$A$11,D3&lt;&gt;VD!$A$17)</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8" id="{454F8CC8-2667-4A56-A255-AB99B1296AFD}">
            <xm:f>AND(D3&lt;&gt;VD!$A$4,D3&lt;&gt;VD!$A$10,D3&lt;&gt;VD!$A$11,D3&lt;&gt;VD!$A$17)</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63" id="{B0226537-030A-43AA-BE68-598677B47660}">
            <xm:f>AND(D3&lt;&gt;VD!$A$2,D3&lt;&gt;VD!$A$3,D3&lt;&gt;VD!$A$18,D3&lt;&gt;VD!$A$19)</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62" id="{1F17CF65-AC03-4174-AE33-19F637BA5A30}">
            <xm:f>AND(D3&lt;&gt;VD!$A$2,D3&lt;&gt;VD!$A$3,D3&lt;&gt;VD!$A$18,D3&lt;&gt;VD!$A$19)</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61" id="{3F514319-47CD-4AA4-B979-D95E37C3DB25}">
            <xm:f>D3&lt;&gt;VD!$A$15</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60" id="{280D21FC-FD1F-4252-A71B-966DF407EBF9}">
            <xm:f>D3&lt;&gt;VD!$A$14</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53" id="{7BCBF518-F730-44E2-9B70-C2C3C1A2F1C4}">
            <xm:f>AND(D5&lt;&gt;VD!$A$4,D5&lt;&gt;VD!$A$10,D5&lt;&gt;VD!$A$11,D5&lt;&gt;VD!$A$17)</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50" id="{5915495F-50E3-4BF8-9F5F-F89D62DB0AA0}">
            <xm:f>AND(D3&lt;&gt;VD!$A$13,D3&lt;&gt;VD!$A$14)</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7" id="{AC972067-3365-4E15-9F4E-79254833D8D9}">
            <xm:f>AND(D4&lt;&gt;VD!$A$2,D4&lt;&gt;VD!$A$3,D3&lt;&gt;VD!$A$18,D3&lt;&gt;VD!$A$19)</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31" id="{B82DE1FD-600F-4541-B60C-CC95BFB22ED5}">
            <xm:f>AND(D4&lt;&gt;VD!$A$4,D4&lt;&gt;VD!$A$10,D4&lt;&gt;VD!$A$11,D4&lt;&gt;VD!$A$17)</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30" id="{20B7E802-46E7-41FD-915B-F2A1A57FF80E}">
            <xm:f>AND(D4&lt;&gt;VD!$A$4,D4&lt;&gt;VD!$A$10,D4&lt;&gt;VD!$A$11,D4&lt;&gt;VD!$A$17)</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9" id="{FEC1704F-23C8-4163-A14F-DBC726CC2A81}">
            <xm:f>AND(D4&lt;&gt;VD!$A$4,D4&lt;&gt;VD!$A$10,D4&lt;&gt;VD!$A$11,D4&lt;&gt;VD!$A$17)</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28" id="{F84817A9-F8D9-411A-8BEF-426A09AA92A9}">
            <xm:f>AND(D4&lt;&gt;VD!$A$4,D4&lt;&gt;VD!$A$10,D4&lt;&gt;VD!$A$11,D4&lt;&gt;VD!$A$17)</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51" id="{5387793B-3C4E-479A-A316-7901CC749D93}">
            <xm:f>AND(D4&lt;&gt;VD!$A$4,D4&lt;&gt;VD!$A$10,D4&lt;&gt;VD!$A$11,D4&lt;&gt;VD!$A$17)</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27" id="{AA5788E8-734A-45A1-955E-2FE5C1BB3F65}">
            <xm:f>AND(D4&lt;&gt;VD!$A$2,D4&lt;&gt;VD!$A$3,D3&lt;&gt;VD!$A$18,D3&lt;&gt;VD!$A$19)</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6" id="{2C9C77CC-816D-4DD9-B216-A9B125A6A82E}">
            <xm:f>AND(D4&lt;&gt;VD!$A$2,D4&lt;&gt;VD!$A$3,D3&lt;&gt;VD!$A$18,D3&lt;&gt;VD!$A$19)</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25" id="{20BAD903-6F38-4965-BF23-47D26BC6262F}">
            <xm:f>D4&lt;&gt;VD!$A$15</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24" id="{61098439-895A-4430-9201-70D6979C0446}">
            <xm:f>D4&lt;&gt;VD!$A$14</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7" id="{50BF3A12-6C1E-4E83-A97E-8943D61E4883}">
            <xm:f>AND(D4&lt;&gt;VD!$A$4,D4&lt;&gt;VD!$A$10,D4&lt;&gt;VD!$A$11,D4&lt;&gt;VD!$A$17)</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6" id="{197EB7FD-6F1D-407E-B728-04B57C405F6A}">
            <xm:f>D3 &lt;&gt; VD!$A$7</xm:f>
            <x14:dxf>
              <font>
                <color theme="1" tint="0.499984740745262"/>
              </font>
              <fill>
                <patternFill>
                  <bgColor theme="1" tint="0.499984740745262"/>
                </patternFill>
              </fill>
            </x14:dxf>
          </x14:cfRule>
          <xm:sqref>BG3:BG5</xm:sqref>
        </x14:conditionalFormatting>
        <x14:conditionalFormatting xmlns:xm="http://schemas.microsoft.com/office/excel/2006/main">
          <x14:cfRule type="expression" priority="9" id="{AC2B938A-CB52-4234-9E60-375370CC1B33}">
            <xm:f>D3&lt;&gt;VD!$A$9</xm:f>
            <x14:dxf>
              <font>
                <color theme="1" tint="0.499984740745262"/>
              </font>
              <fill>
                <patternFill>
                  <bgColor theme="1" tint="0.499984740745262"/>
                </patternFill>
              </fill>
            </x14:dxf>
          </x14:cfRule>
          <xm:sqref>BI3:BI5</xm:sqref>
        </x14:conditionalFormatting>
        <x14:conditionalFormatting xmlns:xm="http://schemas.microsoft.com/office/excel/2006/main">
          <x14:cfRule type="expression" priority="8" id="{741A2E2E-5EBF-471D-BB95-D77E54062F15}">
            <xm:f>D3&lt;&gt;VD!$A$9</xm:f>
            <x14:dxf>
              <font>
                <color theme="1" tint="0.499984740745262"/>
              </font>
              <fill>
                <patternFill>
                  <bgColor theme="1" tint="0.499984740745262"/>
                </patternFill>
              </fill>
            </x14:dxf>
          </x14:cfRule>
          <xm:sqref>BJ3:BJ5</xm:sqref>
        </x14:conditionalFormatting>
        <x14:conditionalFormatting xmlns:xm="http://schemas.microsoft.com/office/excel/2006/main">
          <x14:cfRule type="expression" priority="7" id="{88284C95-C0A5-44F0-97D1-3DB7EB3B009B}">
            <xm:f>D3&lt;&gt;VD!$A$9</xm:f>
            <x14:dxf>
              <font>
                <color theme="1" tint="0.499984740745262"/>
              </font>
              <fill>
                <patternFill>
                  <bgColor theme="1" tint="0.499984740745262"/>
                </patternFill>
              </fill>
            </x14:dxf>
          </x14:cfRule>
          <xm:sqref>BK3:BK5</xm:sqref>
        </x14:conditionalFormatting>
        <x14:conditionalFormatting xmlns:xm="http://schemas.microsoft.com/office/excel/2006/main">
          <x14:cfRule type="expression" priority="5" id="{89601E9E-1AA7-49C6-93E9-9376BAEC7B99}">
            <xm:f>D3&lt;&gt;VD!$A$12</xm:f>
            <x14:dxf>
              <font>
                <color theme="1" tint="0.499984740745262"/>
              </font>
              <fill>
                <patternFill>
                  <bgColor theme="0" tint="-0.499984740745262"/>
                </patternFill>
              </fill>
            </x14:dxf>
          </x14:cfRule>
          <x14:cfRule type="expression" priority="6" id="{1F61DE12-DEF1-4198-AA81-44C6C6CFA09E}">
            <xm:f>D3&lt;&gt;VD!$A$12</xm:f>
            <x14:dxf>
              <fill>
                <patternFill>
                  <bgColor theme="0" tint="-0.499984740745262"/>
                </patternFill>
              </fill>
            </x14:dxf>
          </x14:cfRule>
          <xm:sqref>AJ3:AJ5</xm:sqref>
        </x14:conditionalFormatting>
        <x14:conditionalFormatting xmlns:xm="http://schemas.microsoft.com/office/excel/2006/main">
          <x14:cfRule type="expression" priority="107" id="{BB2CC0D0-D271-49F7-AB65-633FF2FA03C7}">
            <xm:f>AND(D3&lt;&gt;VD!$A$10,D3&lt;&gt;VD!$A$11,D3&lt;&gt;VD!$A$17)</xm:f>
            <x14:dxf>
              <font>
                <color theme="1" tint="0.499984740745262"/>
              </font>
              <fill>
                <patternFill>
                  <bgColor theme="0" tint="-0.499984740745262"/>
                </patternFill>
              </fill>
            </x14:dxf>
          </x14:cfRule>
          <xm:sqref>BE3:BE5</xm:sqref>
        </x14:conditionalFormatting>
        <x14:conditionalFormatting xmlns:xm="http://schemas.microsoft.com/office/excel/2006/main">
          <x14:cfRule type="expression" priority="113" id="{875AEF4D-5B1C-4F50-B347-B50E56195B96}">
            <xm:f>OR(AND(D3&lt;&gt;VD!$A$4,D3&lt;&gt;VD!$A$10,D3&lt;&gt;VD!$A$11,D3&lt;&gt;VD!$A$17),AT3&lt;&gt;VD!$I$3)</xm:f>
            <x14:dxf>
              <font>
                <color theme="1" tint="0.499984740745262"/>
              </font>
              <fill>
                <patternFill>
                  <bgColor theme="0" tint="-0.499984740745262"/>
                </patternFill>
              </fill>
            </x14:dxf>
          </x14:cfRule>
          <xm:sqref>AU3:AU5</xm:sqref>
        </x14:conditionalFormatting>
        <x14:conditionalFormatting xmlns:xm="http://schemas.microsoft.com/office/excel/2006/main">
          <x14:cfRule type="expression" priority="114" id="{168DBA81-777A-4DC9-A715-254FC253B52B}">
            <xm:f>OR(AND(D3&lt;&gt;VD!$A$4,D3&lt;&gt;VD!$A$10,D3&lt;&gt;VD!$A$11,D3&lt;&gt;VD!$A$17),AX3&lt;&gt;VD!$K$5)</xm:f>
            <x14:dxf>
              <font>
                <color theme="1" tint="0.499984740745262"/>
              </font>
              <fill>
                <patternFill>
                  <bgColor theme="0" tint="-0.499984740745262"/>
                </patternFill>
              </fill>
            </x14:dxf>
          </x14:cfRule>
          <xm:sqref>AY3:AY5</xm:sqref>
        </x14:conditionalFormatting>
        <x14:conditionalFormatting xmlns:xm="http://schemas.microsoft.com/office/excel/2006/main">
          <x14:cfRule type="expression" priority="115" id="{A3122B76-3368-4EA8-8024-230F5B732423}">
            <xm:f>OR(AND(D3&lt;&gt;VD!$A$4,D3&lt;&gt;VD!$A$10,D3&lt;&gt;VD!$A$11,D3&lt;&gt;VD!$A$17),AX3&lt;&gt;VD!$K$5)</xm:f>
            <x14:dxf>
              <font>
                <color theme="1" tint="0.499984740745262"/>
              </font>
              <fill>
                <patternFill>
                  <bgColor theme="0" tint="-0.499984740745262"/>
                </patternFill>
              </fill>
            </x14:dxf>
          </x14:cfRule>
          <xm:sqref>AZ3:AZ5</xm:sqref>
        </x14:conditionalFormatting>
        <x14:conditionalFormatting xmlns:xm="http://schemas.microsoft.com/office/excel/2006/main">
          <x14:cfRule type="expression" priority="116" id="{06B40489-695B-42EF-BDAD-5D1D46F5D0A9}">
            <xm:f>OR(AND(D3&lt;&gt;VD!$A$4,D3&lt;&gt;VD!$A$10,D3&lt;&gt;VD!$A$11,D3&lt;&gt;VD!$A$17),AX3&lt;&gt;VD!$K$5)</xm:f>
            <x14:dxf>
              <font>
                <color theme="1" tint="0.499984740745262"/>
              </font>
              <fill>
                <patternFill>
                  <bgColor theme="0" tint="-0.499984740745262"/>
                </patternFill>
              </fill>
            </x14:dxf>
          </x14:cfRule>
          <xm:sqref>BA3:BA5</xm:sqref>
        </x14:conditionalFormatting>
        <x14:conditionalFormatting xmlns:xm="http://schemas.microsoft.com/office/excel/2006/main">
          <x14:cfRule type="expression" priority="117" id="{1D89BDB9-551E-415B-B06F-F696A07DA681}">
            <xm:f>OR(AND(D3&lt;&gt;VD!$A$4,D3&lt;&gt;VD!$A$10,D3&lt;&gt;VD!$A$11,D3&lt;&gt;VD!$A$17),AX3&lt;&gt;VD!$K$5)</xm:f>
            <x14:dxf>
              <font>
                <color theme="1" tint="0.499984740745262"/>
              </font>
              <fill>
                <patternFill>
                  <bgColor theme="0" tint="-0.499984740745262"/>
                </patternFill>
              </fill>
            </x14:dxf>
          </x14:cfRule>
          <xm:sqref>BB3:BB5</xm:sqref>
        </x14:conditionalFormatting>
        <x14:conditionalFormatting xmlns:xm="http://schemas.microsoft.com/office/excel/2006/main">
          <x14:cfRule type="expression" priority="118" id="{C2D989F2-FE87-42E2-9D33-1E7773A9FB9A}">
            <xm:f>OR(AND(D3&lt;&gt;VD!$A$4,D3&lt;&gt;VD!$A$10,D3&lt;&gt;VD!$A$11,D3&lt;&gt;VD!$A$17),AX3&lt;&gt;VD!$K$5)</xm:f>
            <x14:dxf>
              <font>
                <color theme="1" tint="0.499984740745262"/>
              </font>
              <fill>
                <patternFill>
                  <bgColor theme="0" tint="-0.499984740745262"/>
                </patternFill>
              </fill>
            </x14:dxf>
          </x14:cfRule>
          <xm:sqref>BC3:BC5</xm:sqref>
        </x14:conditionalFormatting>
        <x14:conditionalFormatting xmlns:xm="http://schemas.microsoft.com/office/excel/2006/main">
          <x14:cfRule type="expression" priority="119" id="{A9C3CA7D-859C-4538-9BC3-C910D21E6593}">
            <xm:f>OR(AND(D3&lt;&gt;VD!$A$4,D3&lt;&gt;VD!$A$10,D3&lt;&gt;VD!$A$11,D3&lt;&gt;VD!$A$17),AX3&lt;&gt;VD!$K$5)</xm:f>
            <x14:dxf>
              <font>
                <color theme="1" tint="0.499984740745262"/>
              </font>
              <fill>
                <patternFill>
                  <bgColor theme="0" tint="-0.499984740745262"/>
                </patternFill>
              </fill>
            </x14:dxf>
          </x14:cfRule>
          <xm:sqref>BD3:BD5</xm:sqref>
        </x14:conditionalFormatting>
        <x14:conditionalFormatting xmlns:xm="http://schemas.microsoft.com/office/excel/2006/main">
          <x14:cfRule type="expression" priority="1" id="{2A78BB0F-F093-4E3A-A3D4-D29B1E667EFF}">
            <xm:f>AND(D3&lt;&gt;VD!$A$6,D3&lt;&gt;VD!$A$16,D3&lt;&gt;VD!$A$14,D3&lt;&gt;VD!$A$5,D3&lt;&gt;VD!$A$10,D3&lt;&gt;VD!$A$11,D3&lt;&gt;VD!$A$2)</xm:f>
            <x14:dxf>
              <font>
                <color theme="1" tint="0.499984740745262"/>
              </font>
              <fill>
                <patternFill>
                  <bgColor theme="0" tint="-0.499984740745262"/>
                </patternFill>
              </fill>
            </x14:dxf>
          </x14:cfRule>
          <xm:sqref>BO3:BO5</xm:sqref>
        </x14:conditionalFormatting>
      </x14:conditionalFormattings>
    </ex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4000000}">
          <x14:formula1>
            <xm:f>VD!$A$2:$A$16</xm:f>
          </x14:formula1>
          <xm:sqref>D3:D5</xm:sqref>
        </x14:dataValidation>
        <x14:dataValidation type="list" allowBlank="1" showErrorMessage="1" prompt="Uniquement pour les champs textes" xr:uid="{00000000-0002-0000-0000-000005000000}">
          <x14:formula1>
            <xm:f>VD!$B$2:$B$7</xm:f>
          </x14:formula1>
          <xm:sqref>N3:N5</xm:sqref>
        </x14:dataValidation>
        <x14:dataValidation type="list" allowBlank="1" showInputMessage="1" showErrorMessage="1" xr:uid="{00000000-0002-0000-0000-000006000000}">
          <x14:formula1>
            <xm:f>VD!$D$2:$D$3</xm:f>
          </x14:formula1>
          <xm:sqref>AR3:AS5 H3:J5 BJ3:BK5</xm:sqref>
        </x14:dataValidation>
        <x14:dataValidation type="list" allowBlank="1" showInputMessage="1" showErrorMessage="1" xr:uid="{00000000-0002-0000-0000-000007000000}">
          <x14:formula1>
            <xm:f>VD!$E$2:$E$4</xm:f>
          </x14:formula1>
          <xm:sqref>G3:G5</xm:sqref>
        </x14:dataValidation>
        <x14:dataValidation type="list" allowBlank="1" showInputMessage="1" showErrorMessage="1" xr:uid="{00000000-0002-0000-0000-000008000000}">
          <x14:formula1>
            <xm:f>VD!$F$2:$F$6</xm:f>
          </x14:formula1>
          <xm:sqref>W3:W5</xm:sqref>
        </x14:dataValidation>
        <x14:dataValidation type="list" allowBlank="1" showInputMessage="1" showErrorMessage="1" xr:uid="{00000000-0002-0000-0000-000009000000}">
          <x14:formula1>
            <xm:f>VD!$G$2:$G$3</xm:f>
          </x14:formula1>
          <xm:sqref>AO3:AO5 BE3:BE5 AQ3:AQ5</xm:sqref>
        </x14:dataValidation>
        <x14:dataValidation type="list" allowBlank="1" showInputMessage="1" showErrorMessage="1" xr:uid="{00000000-0002-0000-0000-00000A000000}">
          <x14:formula1>
            <xm:f>VD!$H$2:$H$4</xm:f>
          </x14:formula1>
          <xm:sqref>AN3:AN5</xm:sqref>
        </x14:dataValidation>
        <x14:dataValidation type="list" allowBlank="1" showInputMessage="1" showErrorMessage="1" xr:uid="{00000000-0002-0000-0000-00000B000000}">
          <x14:formula1>
            <xm:f>VD!$I$2:$I$4</xm:f>
          </x14:formula1>
          <xm:sqref>AT3:AT5</xm:sqref>
        </x14:dataValidation>
        <x14:dataValidation type="list" allowBlank="1" showInputMessage="1" showErrorMessage="1" xr:uid="{00000000-0002-0000-0000-00000C000000}">
          <x14:formula1>
            <xm:f>VD!$J$2:$J$5</xm:f>
          </x14:formula1>
          <xm:sqref>AV3:AV5</xm:sqref>
        </x14:dataValidation>
        <x14:dataValidation type="list" allowBlank="1" showInputMessage="1" showErrorMessage="1" xr:uid="{00000000-0002-0000-0000-00000D000000}">
          <x14:formula1>
            <xm:f>VD!$K$2:$K$5</xm:f>
          </x14:formula1>
          <xm:sqref>AX3:AX5</xm:sqref>
        </x14:dataValidation>
        <x14:dataValidation type="list" allowBlank="1" showInputMessage="1" showErrorMessage="1" xr:uid="{00000000-0002-0000-0000-00000E000000}">
          <x14:formula1>
            <xm:f>VD!$L$2:$L$5</xm:f>
          </x14:formula1>
          <xm:sqref>BD3:BE5 AY3:BB5</xm:sqref>
        </x14:dataValidation>
        <x14:dataValidation type="list" allowBlank="1" showInputMessage="1" showErrorMessage="1" xr:uid="{00000000-0002-0000-0000-00000F000000}">
          <x14:formula1>
            <xm:f>VD!$M$2:$M$4</xm:f>
          </x14:formula1>
          <xm:sqref>BC3:BC5</xm:sqref>
        </x14:dataValidation>
        <x14:dataValidation type="list" allowBlank="1" showInputMessage="1" showErrorMessage="1" xr:uid="{00000000-0002-0000-0000-000010000000}">
          <x14:formula1>
            <xm:f>VD!$N$2:$N$3</xm:f>
          </x14:formula1>
          <xm:sqref>U3:U5</xm:sqref>
        </x14:dataValidation>
        <x14:dataValidation type="list" allowBlank="1" showInputMessage="1" showErrorMessage="1" error="Only Process or Ignore are valid values" xr:uid="{00000000-0002-0000-0000-000011000000}">
          <x14:formula1>
            <xm:f>VD!$O$2:$O$4</xm:f>
          </x14:formula1>
          <xm:sqref>A3:A5</xm:sqref>
        </x14:dataValidation>
        <x14:dataValidation type="list" allowBlank="1" showInputMessage="1" showErrorMessage="1" xr:uid="{6D2C84D8-C433-4BB6-9505-0262FFBC52C8}">
          <x14:formula1>
            <xm:f>VD!$P$1:$P$3</xm:f>
          </x14:formula1>
          <xm:sqref>AJ3:AJ5</xm:sqref>
        </x14:dataValidation>
        <x14:dataValidation type="list" allowBlank="1" showInputMessage="1" showErrorMessage="1" xr:uid="{97E6D7EC-E8F7-4F91-9345-C4E5605D134F}">
          <x14:formula1>
            <xm:f>IF(D3=VD!$A$14,SingleList,MultiList)</xm:f>
          </x14:formula1>
          <xm:sqref>M3:M5</xm:sqref>
        </x14:dataValidation>
        <x14:dataValidation type="list" allowBlank="1" showInputMessage="1" showErrorMessage="1" xr:uid="{917D56E5-C06C-48CE-BFD7-4F31AE5B4F25}">
          <x14:formula1>
            <xm:f>IF(D3=VD!$A$2,VD!$C$7:$C$9,IF(OR(D3=VD!$A$5,D3=VD!$A$6,D3=VD!$A$16),VD!$C$2:$C$5,IF(OR(D3=VD!$A$12),VD!$C$2:$C$4,IF(OR(D3=VD!$A$14,D3=VD!$A$15),VD!$C$7:$C$9,IF(D3=VD!$A$8,VD!$C$11:$C$12,VD!$C$2)))))</xm:f>
          </x14:formula1>
          <xm:sqref>K3:K5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E4444-56A7-421D-99C6-19DA64723124}">
  <dimension ref="A1:M4"/>
  <sheetViews>
    <sheetView workbookViewId="0">
      <selection activeCell="D26" sqref="D26"/>
    </sheetView>
  </sheetViews>
  <sheetFormatPr baseColWidth="10" defaultRowHeight="14.4" x14ac:dyDescent="0.3"/>
  <cols>
    <col min="1" max="1" width="7.109375" customWidth="1"/>
    <col min="2" max="2" width="13.88671875" bestFit="1" customWidth="1"/>
    <col min="3" max="3" width="20.6640625" bestFit="1" customWidth="1"/>
    <col min="4" max="4" width="17.21875" customWidth="1"/>
    <col min="5" max="5" width="14.6640625" bestFit="1" customWidth="1"/>
    <col min="6" max="6" width="5.21875" bestFit="1" customWidth="1"/>
    <col min="7" max="7" width="11" customWidth="1"/>
    <col min="8" max="8" width="5.77734375" bestFit="1" customWidth="1"/>
    <col min="9" max="9" width="17.21875" customWidth="1"/>
    <col min="10" max="10" width="14.6640625" bestFit="1" customWidth="1"/>
    <col min="11" max="11" width="5.21875" bestFit="1" customWidth="1"/>
    <col min="12" max="12" width="11" customWidth="1"/>
    <col min="13" max="13" width="5.77734375" bestFit="1" customWidth="1"/>
  </cols>
  <sheetData>
    <row r="1" spans="1:13" ht="15.6" x14ac:dyDescent="0.3">
      <c r="A1" s="75" t="s">
        <v>117</v>
      </c>
      <c r="B1" s="75"/>
      <c r="C1" s="75"/>
      <c r="D1" s="76" t="s">
        <v>118</v>
      </c>
      <c r="E1" s="76"/>
      <c r="F1" s="76"/>
      <c r="G1" s="76"/>
      <c r="H1" s="76"/>
      <c r="I1" s="77" t="s">
        <v>119</v>
      </c>
      <c r="J1" s="77"/>
      <c r="K1" s="77"/>
      <c r="L1" s="77"/>
      <c r="M1" s="77"/>
    </row>
    <row r="2" spans="1:13" x14ac:dyDescent="0.3">
      <c r="A2" s="11" t="s">
        <v>91</v>
      </c>
      <c r="B2" s="11" t="s">
        <v>120</v>
      </c>
      <c r="C2" s="11" t="s">
        <v>121</v>
      </c>
      <c r="D2" s="11" t="s">
        <v>122</v>
      </c>
      <c r="E2" s="11" t="s">
        <v>49</v>
      </c>
      <c r="F2" s="11" t="s">
        <v>123</v>
      </c>
      <c r="G2" s="11" t="s">
        <v>124</v>
      </c>
      <c r="H2" s="11" t="s">
        <v>125</v>
      </c>
      <c r="I2" s="11" t="s">
        <v>122</v>
      </c>
      <c r="J2" s="11" t="s">
        <v>49</v>
      </c>
      <c r="K2" s="11" t="s">
        <v>123</v>
      </c>
      <c r="L2" s="11" t="s">
        <v>124</v>
      </c>
      <c r="M2" s="11" t="s">
        <v>125</v>
      </c>
    </row>
    <row r="3" spans="1:13" x14ac:dyDescent="0.3">
      <c r="A3" t="s">
        <v>92</v>
      </c>
      <c r="C3" t="s">
        <v>23</v>
      </c>
      <c r="E3" t="s">
        <v>57</v>
      </c>
      <c r="G3" t="s">
        <v>59</v>
      </c>
      <c r="H3">
        <v>10000</v>
      </c>
      <c r="J3" t="s">
        <v>57</v>
      </c>
      <c r="L3" t="s">
        <v>59</v>
      </c>
      <c r="M3">
        <v>10000</v>
      </c>
    </row>
    <row r="4" spans="1:13" x14ac:dyDescent="0.3">
      <c r="A4" t="s">
        <v>92</v>
      </c>
      <c r="C4" t="s">
        <v>23</v>
      </c>
      <c r="E4" t="s">
        <v>57</v>
      </c>
      <c r="G4" t="s">
        <v>59</v>
      </c>
      <c r="H4">
        <v>10000</v>
      </c>
      <c r="J4" t="s">
        <v>57</v>
      </c>
      <c r="L4" t="s">
        <v>59</v>
      </c>
      <c r="M4">
        <v>10000</v>
      </c>
    </row>
  </sheetData>
  <mergeCells count="3">
    <mergeCell ref="A1:C1"/>
    <mergeCell ref="D1:H1"/>
    <mergeCell ref="I1:M1"/>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07D4F122-AADC-44BE-B48D-FC988DFD5102}">
          <x14:formula1>
            <xm:f>VD!$I$2:$I$4</xm:f>
          </x14:formula1>
          <xm:sqref>E3:E4 J3:J4</xm:sqref>
        </x14:dataValidation>
        <x14:dataValidation type="list" allowBlank="1" showInputMessage="1" showErrorMessage="1" xr:uid="{A8DCCF5D-989D-40DA-AA27-9F343921C097}">
          <x14:formula1>
            <xm:f>VD!$D$2:$D$3</xm:f>
          </x14:formula1>
          <xm:sqref>C3:C4</xm:sqref>
        </x14:dataValidation>
        <x14:dataValidation type="list" allowBlank="1" showInputMessage="1" showErrorMessage="1" xr:uid="{419612E5-E267-4FAA-9C59-8A2D492ABD15}">
          <x14:formula1>
            <xm:f>VD!$J$2:$J$5</xm:f>
          </x14:formula1>
          <xm:sqref>G3:G4 L3:L4</xm:sqref>
        </x14:dataValidation>
        <x14:dataValidation type="list" allowBlank="1" showInputMessage="1" showErrorMessage="1" xr:uid="{9638E774-6851-4692-9D04-5A3379114C14}">
          <x14:formula1>
            <xm:f>VD!$O$2:$O$4</xm:f>
          </x14:formula1>
          <xm:sqref>A3:A4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P36"/>
  <sheetViews>
    <sheetView workbookViewId="0">
      <selection activeCell="E18" sqref="E18"/>
    </sheetView>
  </sheetViews>
  <sheetFormatPr baseColWidth="10" defaultRowHeight="14.4" x14ac:dyDescent="0.3"/>
  <cols>
    <col min="1" max="1" width="19.5546875" customWidth="1"/>
    <col min="2" max="2" width="22.6640625" customWidth="1"/>
    <col min="5" max="5" width="35.6640625" customWidth="1"/>
    <col min="8" max="8" width="21.77734375" customWidth="1"/>
    <col min="9" max="9" width="16.6640625" customWidth="1"/>
  </cols>
  <sheetData>
    <row r="1" spans="1:16" x14ac:dyDescent="0.3">
      <c r="A1" t="s">
        <v>11</v>
      </c>
      <c r="B1" t="s">
        <v>12</v>
      </c>
      <c r="C1" t="s">
        <v>18</v>
      </c>
      <c r="D1" t="s">
        <v>22</v>
      </c>
      <c r="E1" t="s">
        <v>25</v>
      </c>
      <c r="F1" t="s">
        <v>28</v>
      </c>
      <c r="G1" t="s">
        <v>36</v>
      </c>
      <c r="H1" t="s">
        <v>38</v>
      </c>
      <c r="I1" t="s">
        <v>55</v>
      </c>
      <c r="J1" t="s">
        <v>58</v>
      </c>
      <c r="K1" t="s">
        <v>63</v>
      </c>
      <c r="L1" t="s">
        <v>68</v>
      </c>
      <c r="M1" t="s">
        <v>72</v>
      </c>
      <c r="N1" t="s">
        <v>79</v>
      </c>
      <c r="O1" t="s">
        <v>91</v>
      </c>
      <c r="P1" t="s">
        <v>110</v>
      </c>
    </row>
    <row r="2" spans="1:16" x14ac:dyDescent="0.3">
      <c r="A2" t="s">
        <v>105</v>
      </c>
      <c r="B2" t="s">
        <v>13</v>
      </c>
      <c r="C2" t="s">
        <v>19</v>
      </c>
      <c r="D2" t="s">
        <v>23</v>
      </c>
      <c r="E2" t="s">
        <v>26</v>
      </c>
      <c r="F2" t="s">
        <v>29</v>
      </c>
      <c r="G2" t="s">
        <v>37</v>
      </c>
      <c r="H2" t="s">
        <v>39</v>
      </c>
      <c r="I2" t="s">
        <v>56</v>
      </c>
      <c r="J2" t="s">
        <v>59</v>
      </c>
      <c r="K2" t="s">
        <v>66</v>
      </c>
      <c r="L2" t="s">
        <v>68</v>
      </c>
      <c r="M2" t="s">
        <v>69</v>
      </c>
      <c r="N2" t="s">
        <v>80</v>
      </c>
      <c r="O2" t="s">
        <v>92</v>
      </c>
      <c r="P2" t="s">
        <v>111</v>
      </c>
    </row>
    <row r="3" spans="1:16" x14ac:dyDescent="0.3">
      <c r="A3" t="s">
        <v>106</v>
      </c>
      <c r="B3" t="s">
        <v>14</v>
      </c>
      <c r="C3" t="s">
        <v>20</v>
      </c>
      <c r="D3" t="s">
        <v>24</v>
      </c>
      <c r="E3" t="s">
        <v>109</v>
      </c>
      <c r="F3" t="s">
        <v>30</v>
      </c>
      <c r="G3" t="s">
        <v>8</v>
      </c>
      <c r="H3" t="s">
        <v>37</v>
      </c>
      <c r="I3" t="s">
        <v>52</v>
      </c>
      <c r="J3" t="s">
        <v>60</v>
      </c>
      <c r="K3" t="s">
        <v>64</v>
      </c>
      <c r="L3" t="s">
        <v>70</v>
      </c>
      <c r="M3" t="s">
        <v>74</v>
      </c>
      <c r="N3" t="s">
        <v>81</v>
      </c>
      <c r="O3" t="s">
        <v>93</v>
      </c>
      <c r="P3" t="s">
        <v>112</v>
      </c>
    </row>
    <row r="4" spans="1:16" x14ac:dyDescent="0.3">
      <c r="A4" t="s">
        <v>86</v>
      </c>
      <c r="B4" t="s">
        <v>15</v>
      </c>
      <c r="C4" t="s">
        <v>21</v>
      </c>
      <c r="E4" t="s">
        <v>45</v>
      </c>
      <c r="F4" t="s">
        <v>31</v>
      </c>
      <c r="H4" t="s">
        <v>47</v>
      </c>
      <c r="I4" t="s">
        <v>57</v>
      </c>
      <c r="J4" t="s">
        <v>61</v>
      </c>
      <c r="K4" t="s">
        <v>65</v>
      </c>
      <c r="L4" t="s">
        <v>71</v>
      </c>
      <c r="M4" t="s">
        <v>73</v>
      </c>
      <c r="O4" t="s">
        <v>128</v>
      </c>
    </row>
    <row r="5" spans="1:16" x14ac:dyDescent="0.3">
      <c r="A5" t="s">
        <v>8</v>
      </c>
      <c r="B5" t="s">
        <v>16</v>
      </c>
      <c r="C5" t="s">
        <v>127</v>
      </c>
      <c r="F5" t="s">
        <v>32</v>
      </c>
      <c r="J5" t="s">
        <v>62</v>
      </c>
      <c r="K5" t="s">
        <v>67</v>
      </c>
      <c r="L5" t="s">
        <v>29</v>
      </c>
    </row>
    <row r="6" spans="1:16" x14ac:dyDescent="0.3">
      <c r="A6" t="s">
        <v>6</v>
      </c>
      <c r="B6" t="s">
        <v>44</v>
      </c>
      <c r="F6" t="s">
        <v>98</v>
      </c>
    </row>
    <row r="7" spans="1:16" x14ac:dyDescent="0.3">
      <c r="A7" t="s">
        <v>99</v>
      </c>
      <c r="B7" t="s">
        <v>17</v>
      </c>
      <c r="C7" t="s">
        <v>19</v>
      </c>
    </row>
    <row r="8" spans="1:16" x14ac:dyDescent="0.3">
      <c r="A8" t="s">
        <v>5</v>
      </c>
      <c r="B8" t="s">
        <v>96</v>
      </c>
      <c r="C8" t="s">
        <v>20</v>
      </c>
    </row>
    <row r="9" spans="1:16" x14ac:dyDescent="0.3">
      <c r="A9" t="s">
        <v>3</v>
      </c>
      <c r="B9" t="s">
        <v>97</v>
      </c>
      <c r="C9" t="s">
        <v>127</v>
      </c>
    </row>
    <row r="10" spans="1:16" x14ac:dyDescent="0.3">
      <c r="A10" t="s">
        <v>9</v>
      </c>
    </row>
    <row r="11" spans="1:16" x14ac:dyDescent="0.3">
      <c r="A11" t="s">
        <v>113</v>
      </c>
      <c r="B11" t="s">
        <v>14</v>
      </c>
      <c r="C11" t="s">
        <v>19</v>
      </c>
    </row>
    <row r="12" spans="1:16" x14ac:dyDescent="0.3">
      <c r="A12" t="s">
        <v>7</v>
      </c>
      <c r="B12" t="s">
        <v>143</v>
      </c>
      <c r="C12" t="s">
        <v>127</v>
      </c>
    </row>
    <row r="13" spans="1:16" x14ac:dyDescent="0.3">
      <c r="A13" t="s">
        <v>46</v>
      </c>
    </row>
    <row r="14" spans="1:16" x14ac:dyDescent="0.3">
      <c r="A14" t="s">
        <v>1</v>
      </c>
    </row>
    <row r="15" spans="1:16" x14ac:dyDescent="0.3">
      <c r="A15" t="s">
        <v>2</v>
      </c>
    </row>
    <row r="16" spans="1:16" x14ac:dyDescent="0.3">
      <c r="A16" t="s">
        <v>4</v>
      </c>
    </row>
    <row r="17" spans="1:1" x14ac:dyDescent="0.3">
      <c r="A17" t="s">
        <v>114</v>
      </c>
    </row>
    <row r="18" spans="1:1" x14ac:dyDescent="0.3">
      <c r="A18" t="s">
        <v>115</v>
      </c>
    </row>
    <row r="19" spans="1:1" x14ac:dyDescent="0.3">
      <c r="A19" t="s">
        <v>116</v>
      </c>
    </row>
    <row r="23" spans="1:1" x14ac:dyDescent="0.3">
      <c r="A23" t="s">
        <v>1</v>
      </c>
    </row>
    <row r="24" spans="1:1" x14ac:dyDescent="0.3">
      <c r="A24" t="s">
        <v>105</v>
      </c>
    </row>
    <row r="25" spans="1:1" x14ac:dyDescent="0.3">
      <c r="A25" t="s">
        <v>2</v>
      </c>
    </row>
    <row r="26" spans="1:1" x14ac:dyDescent="0.3">
      <c r="A26" t="s">
        <v>3</v>
      </c>
    </row>
    <row r="27" spans="1:1" x14ac:dyDescent="0.3">
      <c r="A27" t="s">
        <v>4</v>
      </c>
    </row>
    <row r="28" spans="1:1" x14ac:dyDescent="0.3">
      <c r="A28" t="s">
        <v>5</v>
      </c>
    </row>
    <row r="29" spans="1:1" x14ac:dyDescent="0.3">
      <c r="A29" t="s">
        <v>6</v>
      </c>
    </row>
    <row r="30" spans="1:1" x14ac:dyDescent="0.3">
      <c r="A30" t="s">
        <v>7</v>
      </c>
    </row>
    <row r="31" spans="1:1" x14ac:dyDescent="0.3">
      <c r="A31" t="s">
        <v>46</v>
      </c>
    </row>
    <row r="32" spans="1:1" x14ac:dyDescent="0.3">
      <c r="A32" t="s">
        <v>8</v>
      </c>
    </row>
    <row r="33" spans="1:1" x14ac:dyDescent="0.3">
      <c r="A33" t="s">
        <v>9</v>
      </c>
    </row>
    <row r="34" spans="1:1" x14ac:dyDescent="0.3">
      <c r="A34" t="s">
        <v>86</v>
      </c>
    </row>
    <row r="35" spans="1:1" x14ac:dyDescent="0.3">
      <c r="A35" t="s">
        <v>106</v>
      </c>
    </row>
    <row r="36" spans="1:1" x14ac:dyDescent="0.3">
      <c r="A36" t="s">
        <v>99</v>
      </c>
    </row>
  </sheetData>
  <customSheetViews>
    <customSheetView guid="{3FD5CC6D-26AF-47D3-B703-CD7B509DDA43}">
      <selection activeCell="A15" sqref="A15"/>
      <pageMargins left="0.7" right="0.7" top="0.75" bottom="0.75" header="0.3" footer="0.3"/>
      <pageSetup paperSize="9" orientation="portrait" r:id="rId1"/>
    </customSheetView>
  </customSheetViews>
  <dataValidations count="1">
    <dataValidation type="list" allowBlank="1" showInputMessage="1" showErrorMessage="1" sqref="F23" xr:uid="{01911684-CA14-4CE9-B033-E91E43FA5B22}">
      <formula1>$C$11:$C$12</formula1>
    </dataValidation>
  </dataValidation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N3:P3 O4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Attributes</vt:lpstr>
      <vt:lpstr>Many-to-many</vt:lpstr>
      <vt:lpstr>VD</vt:lpstr>
      <vt:lpstr>MultiList</vt:lpstr>
      <vt:lpstr>SingleList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2025-08-25T13:28:02Z</dcterms:modified>
</cp:coreProperties>
</file>